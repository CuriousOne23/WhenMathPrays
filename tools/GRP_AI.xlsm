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530" codeName="{DD97A8EA-9A9A-E61F-A557-7D5A7D7259CE}"/>
  <workbookPr codeName="ThisWorkbook" defaultThemeVersion="202300"/>
  <mc:AlternateContent xmlns:mc="http://schemas.openxmlformats.org/markup-compatibility/2006">
    <mc:Choice Requires="x15">
      <x15ac:absPath xmlns:x15ac="http://schemas.microsoft.com/office/spreadsheetml/2010/11/ac" url="C:\Users\jeffg\Documents\GitHub\WhenMathPrays\tools\"/>
    </mc:Choice>
  </mc:AlternateContent>
  <xr:revisionPtr revIDLastSave="0" documentId="13_ncr:1_{C63ADB5B-B495-4195-A565-E2207FE4628A}" xr6:coauthVersionLast="47" xr6:coauthVersionMax="47" xr10:uidLastSave="{00000000-0000-0000-0000-000000000000}"/>
  <bookViews>
    <workbookView xWindow="-48" yWindow="636" windowWidth="11172" windowHeight="12180" xr2:uid="{BDC9F35F-0710-4C80-B890-2C14A82C5ADF}"/>
  </bookViews>
  <sheets>
    <sheet name="Gamma_self Calc" sheetId="4" r:id="rId1"/>
    <sheet name="ai_drift_demo_M1" sheetId="16" r:id="rId2"/>
    <sheet name="Constants" sheetId="1" r:id="rId3"/>
    <sheet name="GRP Equation" sheetId="2" r:id="rId4"/>
    <sheet name="Primitive-&gt;gamma_self" sheetId="3" r:id="rId5"/>
  </sheets>
  <functionGroups builtInGroupCount="19"/>
  <definedNames>
    <definedName name="_xleta.COLUMN" hidden="1" xlm="1">#NAME?</definedName>
    <definedName name="_xleta.INDIRECT" hidden="1" xlm="1">#NAME?</definedName>
    <definedName name="_xleta.ISBLANK" hidden="1" xlm="1">#NAME?</definedName>
    <definedName name="_xleta.ISNUMBER" hidden="1" xlm="1">#NAME?</definedName>
    <definedName name="_xleta.ROW"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34" i="4" l="1"/>
  <c r="C32" i="4"/>
  <c r="C27" i="4"/>
  <c r="C31" i="4" a="1"/>
  <c r="C28" i="4"/>
  <c r="C30" i="4"/>
  <c r="C33" i="4"/>
  <c r="C31" i="4" l="1"/>
  <c r="B41" i="4" a="1"/>
  <c r="B45" i="4" a="1"/>
  <c r="B43" i="4" a="1"/>
  <c r="B60" i="4" a="1"/>
  <c r="B57" i="4" a="1"/>
  <c r="B46" i="4" a="1"/>
  <c r="B58" i="4" a="1"/>
  <c r="B50" i="4" a="1"/>
  <c r="B56" i="4" a="1"/>
  <c r="B48" i="4" a="1"/>
  <c r="B54" i="4" a="1"/>
  <c r="B53" i="4" a="1"/>
  <c r="B44" i="4" a="1"/>
  <c r="B42" i="4" a="1"/>
  <c r="B47" i="4" a="1"/>
  <c r="B52" i="4" a="1"/>
  <c r="B59" i="4" a="1"/>
  <c r="B40" i="4" a="1"/>
  <c r="B179" i="4" a="1"/>
  <c r="B484" i="4" a="1"/>
  <c r="B97" i="4" a="1"/>
  <c r="B407" i="4" a="1"/>
  <c r="B59" i="4" l="1"/>
  <c r="B52" i="4"/>
  <c r="B47" i="4"/>
  <c r="B42" i="4"/>
  <c r="B44" i="4"/>
  <c r="B53" i="4"/>
  <c r="B54" i="4"/>
  <c r="B48" i="4"/>
  <c r="B56" i="4"/>
  <c r="B50" i="4"/>
  <c r="B58" i="4"/>
  <c r="B46" i="4"/>
  <c r="B57" i="4"/>
  <c r="B60" i="4"/>
  <c r="B43" i="4"/>
  <c r="B45" i="4"/>
  <c r="B41" i="4"/>
  <c r="B40" i="4"/>
  <c r="B179" i="4"/>
  <c r="B484" i="4"/>
  <c r="B97" i="4"/>
  <c r="B407" i="4"/>
  <c r="C462" i="4" a="1"/>
  <c r="C462" i="4" s="1"/>
  <c r="C78" i="4" a="1"/>
  <c r="C78" i="4" s="1"/>
  <c r="C293" i="4" a="1"/>
  <c r="C293" i="4" s="1"/>
  <c r="C460" i="4" a="1"/>
  <c r="C460" i="4" s="1"/>
  <c r="C147" i="4" a="1"/>
  <c r="C147" i="4" s="1"/>
  <c r="C206" i="4" a="1"/>
  <c r="C206" i="4" s="1"/>
  <c r="C421" i="4" a="1"/>
  <c r="C421" i="4" s="1"/>
  <c r="C334" i="4" a="1"/>
  <c r="C334" i="4" s="1"/>
  <c r="C439" i="4" a="1"/>
  <c r="C439" i="4" s="1"/>
  <c r="C76" i="4" a="1"/>
  <c r="C76" i="4" s="1"/>
  <c r="C505" i="4" a="1"/>
  <c r="C505" i="4" s="1"/>
  <c r="C223" i="4" a="1"/>
  <c r="C223" i="4" s="1"/>
  <c r="C290" i="4" a="1"/>
  <c r="C290" i="4" s="1"/>
  <c r="C165" i="4" a="1"/>
  <c r="C165" i="4" s="1"/>
  <c r="C81" i="4" a="1"/>
  <c r="C81" i="4" s="1"/>
  <c r="C351" i="4" a="1"/>
  <c r="C351" i="4" s="1"/>
  <c r="C95" i="4" a="1"/>
  <c r="C95" i="4" s="1"/>
  <c r="C162" i="4" a="1"/>
  <c r="C162" i="4" s="1"/>
  <c r="C273" i="4" a="1"/>
  <c r="C273" i="4" s="1"/>
  <c r="C496" i="4" a="1"/>
  <c r="C496" i="4" s="1"/>
  <c r="C120" i="4" a="1"/>
  <c r="C120" i="4" s="1"/>
  <c r="C456" i="4" a="1"/>
  <c r="C456" i="4" s="1"/>
  <c r="C248" i="4" a="1"/>
  <c r="C248" i="4" s="1"/>
  <c r="C157" i="4" a="1"/>
  <c r="C157" i="4" s="1"/>
  <c r="C267" i="4" a="1"/>
  <c r="C267" i="4" s="1"/>
  <c r="C139" i="4" a="1"/>
  <c r="C139" i="4" s="1"/>
  <c r="C515" i="4" a="1"/>
  <c r="C515" i="4" s="1"/>
  <c r="C410" i="4" a="1"/>
  <c r="C410" i="4" s="1"/>
  <c r="C282" i="4" a="1"/>
  <c r="C282" i="4" s="1"/>
  <c r="C154" i="4" a="1"/>
  <c r="C154" i="4" s="1"/>
  <c r="C418" i="4" a="1"/>
  <c r="C418" i="4" s="1"/>
  <c r="C112" i="4" a="1"/>
  <c r="C112" i="4" s="1"/>
  <c r="C326" i="4" a="1"/>
  <c r="C326" i="4" s="1"/>
  <c r="C413" i="4" a="1"/>
  <c r="C413" i="4" s="1"/>
  <c r="C232" i="4" a="1"/>
  <c r="C232" i="4" s="1"/>
  <c r="C405" i="4" a="1"/>
  <c r="C405" i="4" s="1"/>
  <c r="C444" i="4" a="1"/>
  <c r="C444" i="4" s="1"/>
  <c r="C316" i="4" a="1"/>
  <c r="C316" i="4" s="1"/>
  <c r="C188" i="4" a="1"/>
  <c r="C188" i="4" s="1"/>
  <c r="C531" i="4" a="1"/>
  <c r="C531" i="4" s="1"/>
  <c r="C387" i="4" a="1"/>
  <c r="C387" i="4" s="1"/>
  <c r="C259" i="4" a="1"/>
  <c r="C259" i="4" s="1"/>
  <c r="C131" i="4" a="1"/>
  <c r="C131" i="4" s="1"/>
  <c r="C530" i="4" a="1"/>
  <c r="C530" i="4" s="1"/>
  <c r="C402" i="4" a="1"/>
  <c r="C402" i="4" s="1"/>
  <c r="C274" i="4" a="1"/>
  <c r="C274" i="4" s="1"/>
  <c r="C146" i="4" a="1"/>
  <c r="C146" i="4" s="1"/>
  <c r="C403" i="4" a="1"/>
  <c r="C403" i="4" s="1"/>
  <c r="C408" i="4" a="1"/>
  <c r="C408" i="4" s="1"/>
  <c r="C68" i="4" a="1"/>
  <c r="C68" i="4" s="1"/>
  <c r="C335" i="4" a="1"/>
  <c r="C335" i="4" s="1"/>
  <c r="C318" i="4" a="1"/>
  <c r="C318" i="4" s="1"/>
  <c r="C265" i="4" a="1"/>
  <c r="C265" i="4" s="1"/>
  <c r="C199" i="4" a="1"/>
  <c r="C199" i="4" s="1"/>
  <c r="C511" i="4" a="1"/>
  <c r="C511" i="4" s="1"/>
  <c r="C438" i="4" a="1"/>
  <c r="C438" i="4" s="1"/>
  <c r="C310" i="4" a="1"/>
  <c r="C310" i="4" s="1"/>
  <c r="C182" i="4" a="1"/>
  <c r="C182" i="4" s="1"/>
  <c r="C525" i="4" a="1"/>
  <c r="C525" i="4" s="1"/>
  <c r="C397" i="4" a="1"/>
  <c r="C397" i="4" s="1"/>
  <c r="C269" i="4" a="1"/>
  <c r="C269" i="4" s="1"/>
  <c r="C141" i="4" a="1"/>
  <c r="C141" i="4" s="1"/>
  <c r="C369" i="4" a="1"/>
  <c r="C369" i="4" s="1"/>
  <c r="C336" i="4" a="1"/>
  <c r="C336" i="4" s="1"/>
  <c r="C436" i="4" a="1"/>
  <c r="C436" i="4" s="1"/>
  <c r="C308" i="4" a="1"/>
  <c r="C308" i="4" s="1"/>
  <c r="C180" i="4" a="1"/>
  <c r="C180" i="4" s="1"/>
  <c r="C523" i="4" a="1"/>
  <c r="C523" i="4" s="1"/>
  <c r="C379" i="4" a="1"/>
  <c r="C379" i="4" s="1"/>
  <c r="C251" i="4" a="1"/>
  <c r="C251" i="4" s="1"/>
  <c r="C123" i="4" a="1"/>
  <c r="C123" i="4" s="1"/>
  <c r="C522" i="4" a="1"/>
  <c r="C522" i="4" s="1"/>
  <c r="C394" i="4" a="1"/>
  <c r="C394" i="4" s="1"/>
  <c r="C266" i="4" a="1"/>
  <c r="C266" i="4" s="1"/>
  <c r="C138" i="4" a="1"/>
  <c r="C138" i="4" s="1"/>
  <c r="C332" i="4" a="1"/>
  <c r="C332" i="4" s="1"/>
  <c r="C249" i="4" a="1"/>
  <c r="C249" i="4" s="1"/>
  <c r="C504" i="4" a="1"/>
  <c r="C504" i="4" s="1"/>
  <c r="C104" i="4" a="1"/>
  <c r="C104" i="4" s="1"/>
  <c r="C328" i="4" a="1"/>
  <c r="C328" i="4" s="1"/>
  <c r="C190" i="4" a="1"/>
  <c r="C190" i="4" s="1"/>
  <c r="C96" i="4" a="1"/>
  <c r="C96" i="4" s="1"/>
  <c r="C71" i="4" a="1"/>
  <c r="C71" i="4" s="1"/>
  <c r="C361" i="4" a="1"/>
  <c r="C361" i="4" s="1"/>
  <c r="C225" i="4" a="1"/>
  <c r="C225" i="4" s="1"/>
  <c r="C216" i="4" a="1"/>
  <c r="C216" i="4" s="1"/>
  <c r="C88" i="4" a="1"/>
  <c r="C88" i="4" s="1"/>
  <c r="C319" i="4" a="1"/>
  <c r="C319" i="4" s="1"/>
  <c r="C191" i="4" a="1"/>
  <c r="C191" i="4" s="1"/>
  <c r="C63" i="4" a="1"/>
  <c r="C63" i="4" s="1"/>
  <c r="C487" i="4" a="1"/>
  <c r="C487" i="4" s="1"/>
  <c r="C430" i="4" a="1"/>
  <c r="C430" i="4" s="1"/>
  <c r="C302" i="4" a="1"/>
  <c r="C302" i="4" s="1"/>
  <c r="C174" i="4" a="1"/>
  <c r="C174" i="4" s="1"/>
  <c r="C517" i="4" a="1"/>
  <c r="C517" i="4" s="1"/>
  <c r="C389" i="4" a="1"/>
  <c r="C389" i="4" s="1"/>
  <c r="C261" i="4" a="1"/>
  <c r="C261" i="4" s="1"/>
  <c r="C133" i="4" a="1"/>
  <c r="C133" i="4" s="1"/>
  <c r="C297" i="4" a="1"/>
  <c r="C297" i="4" s="1"/>
  <c r="C495" i="4" a="1"/>
  <c r="C495" i="4" s="1"/>
  <c r="C428" i="4" a="1"/>
  <c r="C428" i="4" s="1"/>
  <c r="C300" i="4" a="1"/>
  <c r="C300" i="4" s="1"/>
  <c r="C172" i="4" a="1"/>
  <c r="C172" i="4" s="1"/>
  <c r="C507" i="4" a="1"/>
  <c r="C507" i="4" s="1"/>
  <c r="C371" i="4" a="1"/>
  <c r="C371" i="4" s="1"/>
  <c r="C243" i="4" a="1"/>
  <c r="C243" i="4" s="1"/>
  <c r="C115" i="4" a="1"/>
  <c r="C115" i="4" s="1"/>
  <c r="C514" i="4" a="1"/>
  <c r="C514" i="4" s="1"/>
  <c r="C386" i="4" a="1"/>
  <c r="C386" i="4" s="1"/>
  <c r="C258" i="4" a="1"/>
  <c r="C258" i="4" s="1"/>
  <c r="C130" i="4" a="1"/>
  <c r="C130" i="4" s="1"/>
  <c r="C215" i="4" a="1"/>
  <c r="C215" i="4" s="1"/>
  <c r="C183" i="4" a="1"/>
  <c r="C183" i="4" s="1"/>
  <c r="C509" i="4" a="1"/>
  <c r="C509" i="4" s="1"/>
  <c r="C253" i="4" a="1"/>
  <c r="C253" i="4" s="1"/>
  <c r="C125" i="4" a="1"/>
  <c r="C125" i="4" s="1"/>
  <c r="C257" i="4" a="1"/>
  <c r="C257" i="4" s="1"/>
  <c r="C455" i="4" a="1"/>
  <c r="C455" i="4" s="1"/>
  <c r="C420" i="4" a="1"/>
  <c r="C420" i="4" s="1"/>
  <c r="C292" i="4" a="1"/>
  <c r="C292" i="4" s="1"/>
  <c r="C164" i="4" a="1"/>
  <c r="C164" i="4" s="1"/>
  <c r="C497" i="4" a="1"/>
  <c r="C497" i="4" s="1"/>
  <c r="C499" i="4" a="1"/>
  <c r="C499" i="4" s="1"/>
  <c r="C363" i="4" a="1"/>
  <c r="C363" i="4" s="1"/>
  <c r="C235" i="4" a="1"/>
  <c r="C235" i="4" s="1"/>
  <c r="C107" i="4" a="1"/>
  <c r="C107" i="4" s="1"/>
  <c r="C506" i="4" a="1"/>
  <c r="C506" i="4" s="1"/>
  <c r="C378" i="4" a="1"/>
  <c r="C378" i="4" s="1"/>
  <c r="C250" i="4" a="1"/>
  <c r="C250" i="4" s="1"/>
  <c r="C122" i="4" a="1"/>
  <c r="C122" i="4" s="1"/>
  <c r="C324" i="4" a="1"/>
  <c r="C324" i="4" s="1"/>
  <c r="C446" i="4" a="1"/>
  <c r="C446" i="4" s="1"/>
  <c r="C80" i="4" a="1"/>
  <c r="C80" i="4" s="1"/>
  <c r="C381" i="4" a="1"/>
  <c r="C381" i="4" s="1"/>
  <c r="C529" i="4" a="1"/>
  <c r="C529" i="4" s="1"/>
  <c r="C169" i="4" a="1"/>
  <c r="C169" i="4" s="1"/>
  <c r="C384" i="4" a="1"/>
  <c r="C384" i="4" s="1"/>
  <c r="C200" i="4" a="1"/>
  <c r="C200" i="4" s="1"/>
  <c r="C72" i="4" a="1"/>
  <c r="C72" i="4" s="1"/>
  <c r="C303" i="4" a="1"/>
  <c r="C303" i="4" s="1"/>
  <c r="C175" i="4" a="1"/>
  <c r="C175" i="4" s="1"/>
  <c r="C399" i="4" a="1"/>
  <c r="C399" i="4" s="1"/>
  <c r="C414" i="4" a="1"/>
  <c r="C414" i="4" s="1"/>
  <c r="C286" i="4" a="1"/>
  <c r="C286" i="4" s="1"/>
  <c r="C158" i="4" a="1"/>
  <c r="C158" i="4" s="1"/>
  <c r="C481" i="4" a="1"/>
  <c r="C481" i="4" s="1"/>
  <c r="C501" i="4" a="1"/>
  <c r="C501" i="4" s="1"/>
  <c r="C373" i="4" a="1"/>
  <c r="C373" i="4" s="1"/>
  <c r="C245" i="4" a="1"/>
  <c r="C245" i="4" s="1"/>
  <c r="C117" i="4" a="1"/>
  <c r="C117" i="4" s="1"/>
  <c r="C161" i="4" a="1"/>
  <c r="C161" i="4" s="1"/>
  <c r="C383" i="4" a="1"/>
  <c r="C383" i="4" s="1"/>
  <c r="C412" i="4" a="1"/>
  <c r="C412" i="4" s="1"/>
  <c r="C284" i="4" a="1"/>
  <c r="C284" i="4" s="1"/>
  <c r="C156" i="4" a="1"/>
  <c r="C156" i="4" s="1"/>
  <c r="C449" i="4" a="1"/>
  <c r="C449" i="4" s="1"/>
  <c r="C483" i="4" a="1"/>
  <c r="C483" i="4" s="1"/>
  <c r="C355" i="4" a="1"/>
  <c r="C355" i="4" s="1"/>
  <c r="C227" i="4" a="1"/>
  <c r="C227" i="4" s="1"/>
  <c r="C99" i="4" a="1"/>
  <c r="C99" i="4" s="1"/>
  <c r="C498" i="4" a="1"/>
  <c r="C498" i="4" s="1"/>
  <c r="C370" i="4" a="1"/>
  <c r="C370" i="4" s="1"/>
  <c r="C242" i="4" a="1"/>
  <c r="C242" i="4" s="1"/>
  <c r="C114" i="4" a="1"/>
  <c r="C114" i="4" s="1"/>
  <c r="C417" i="4" a="1"/>
  <c r="C417" i="4" s="1"/>
  <c r="C520" i="4" a="1"/>
  <c r="C520" i="4" s="1"/>
  <c r="C217" i="4" a="1"/>
  <c r="C217" i="4" s="1"/>
  <c r="C192" i="4" a="1"/>
  <c r="C192" i="4" s="1"/>
  <c r="C64" i="4" a="1"/>
  <c r="C64" i="4" s="1"/>
  <c r="C295" i="4" a="1"/>
  <c r="C295" i="4" s="1"/>
  <c r="C167" i="4" a="1"/>
  <c r="C167" i="4" s="1"/>
  <c r="C512" i="4" a="1"/>
  <c r="C512" i="4" s="1"/>
  <c r="C534" i="4" a="1"/>
  <c r="C534" i="4" s="1"/>
  <c r="C406" i="4" a="1"/>
  <c r="C406" i="4" s="1"/>
  <c r="C278" i="4" a="1"/>
  <c r="C278" i="4" s="1"/>
  <c r="C150" i="4" a="1"/>
  <c r="C150" i="4" s="1"/>
  <c r="C425" i="4" a="1"/>
  <c r="C425" i="4" s="1"/>
  <c r="C493" i="4" a="1"/>
  <c r="C493" i="4" s="1"/>
  <c r="C365" i="4" a="1"/>
  <c r="C365" i="4" s="1"/>
  <c r="C237" i="4" a="1"/>
  <c r="C237" i="4" s="1"/>
  <c r="C109" i="4" a="1"/>
  <c r="C109" i="4" s="1"/>
  <c r="C480" i="4" a="1"/>
  <c r="C480" i="4" s="1"/>
  <c r="C532" i="4" a="1"/>
  <c r="C532" i="4" s="1"/>
  <c r="C404" i="4" a="1"/>
  <c r="C404" i="4" s="1"/>
  <c r="C276" i="4" a="1"/>
  <c r="C276" i="4" s="1"/>
  <c r="C148" i="4" a="1"/>
  <c r="C148" i="4" s="1"/>
  <c r="C393" i="4" a="1"/>
  <c r="C393" i="4" s="1"/>
  <c r="C475" i="4" a="1"/>
  <c r="C475" i="4" s="1"/>
  <c r="C347" i="4" a="1"/>
  <c r="C347" i="4" s="1"/>
  <c r="C219" i="4" a="1"/>
  <c r="C219" i="4" s="1"/>
  <c r="C91" i="4" a="1"/>
  <c r="C91" i="4" s="1"/>
  <c r="C490" i="4" a="1"/>
  <c r="C490" i="4" s="1"/>
  <c r="C362" i="4" a="1"/>
  <c r="C362" i="4" s="1"/>
  <c r="C234" i="4" a="1"/>
  <c r="C234" i="4" s="1"/>
  <c r="C106" i="4" a="1"/>
  <c r="C106" i="4" s="1"/>
  <c r="C87" i="4" a="1"/>
  <c r="C87" i="4" s="1"/>
  <c r="C407" i="4" a="1"/>
  <c r="C407" i="4" s="1"/>
  <c r="C457" i="4" a="1"/>
  <c r="C457" i="4" s="1"/>
  <c r="C65" i="4" a="1"/>
  <c r="C65" i="4" s="1"/>
  <c r="C149" i="4" a="1"/>
  <c r="C149" i="4" s="1"/>
  <c r="C224" i="4" a="1"/>
  <c r="C224" i="4" s="1"/>
  <c r="C311" i="4" a="1"/>
  <c r="C311" i="4" s="1"/>
  <c r="C447" i="4" a="1"/>
  <c r="C447" i="4" s="1"/>
  <c r="C294" i="4" a="1"/>
  <c r="C294" i="4" s="1"/>
  <c r="C352" i="4" a="1"/>
  <c r="C352" i="4" s="1"/>
  <c r="C473" i="4" a="1"/>
  <c r="C473" i="4" s="1"/>
  <c r="C145" i="4" a="1"/>
  <c r="C145" i="4" s="1"/>
  <c r="C312" i="4" a="1"/>
  <c r="C312" i="4" s="1"/>
  <c r="C184" i="4" a="1"/>
  <c r="C184" i="4" s="1"/>
  <c r="C287" i="4" a="1"/>
  <c r="C287" i="4" s="1"/>
  <c r="C159" i="4" a="1"/>
  <c r="C159" i="4" s="1"/>
  <c r="C367" i="4" a="1"/>
  <c r="C367" i="4" s="1"/>
  <c r="C526" i="4" a="1"/>
  <c r="C526" i="4" s="1"/>
  <c r="C398" i="4" a="1"/>
  <c r="C398" i="4" s="1"/>
  <c r="C270" i="4" a="1"/>
  <c r="C270" i="4" s="1"/>
  <c r="C142" i="4" a="1"/>
  <c r="C142" i="4" s="1"/>
  <c r="C337" i="4" a="1"/>
  <c r="C337" i="4" s="1"/>
  <c r="C485" i="4" a="1"/>
  <c r="C485" i="4" s="1"/>
  <c r="C357" i="4" a="1"/>
  <c r="C357" i="4" s="1"/>
  <c r="C229" i="4" a="1"/>
  <c r="C229" i="4" s="1"/>
  <c r="C101" i="4" a="1"/>
  <c r="C101" i="4" s="1"/>
  <c r="C432" i="4" a="1"/>
  <c r="C432" i="4" s="1"/>
  <c r="C524" i="4" a="1"/>
  <c r="C524" i="4" s="1"/>
  <c r="C396" i="4" a="1"/>
  <c r="C396" i="4" s="1"/>
  <c r="C268" i="4" a="1"/>
  <c r="C268" i="4" s="1"/>
  <c r="C140" i="4" a="1"/>
  <c r="C140" i="4" s="1"/>
  <c r="C345" i="4" a="1"/>
  <c r="C345" i="4" s="1"/>
  <c r="C467" i="4" a="1"/>
  <c r="C467" i="4" s="1"/>
  <c r="C339" i="4" a="1"/>
  <c r="C339" i="4" s="1"/>
  <c r="C211" i="4" a="1"/>
  <c r="C211" i="4" s="1"/>
  <c r="C83" i="4" a="1"/>
  <c r="C83" i="4" s="1"/>
  <c r="C482" i="4" a="1"/>
  <c r="C482" i="4" s="1"/>
  <c r="C354" i="4" a="1"/>
  <c r="C354" i="4" s="1"/>
  <c r="C226" i="4" a="1"/>
  <c r="C226" i="4" s="1"/>
  <c r="C98" i="4" a="1"/>
  <c r="C98" i="4" s="1"/>
  <c r="C204" i="4" a="1"/>
  <c r="C204" i="4" s="1"/>
  <c r="C395" i="4" a="1"/>
  <c r="C395" i="4" s="1"/>
  <c r="C207" i="4" a="1"/>
  <c r="C207" i="4" s="1"/>
  <c r="C62" i="4" a="1"/>
  <c r="C62" i="4" s="1"/>
  <c r="C209" i="4" a="1"/>
  <c r="C209" i="4" s="1"/>
  <c r="C359" i="4" a="1"/>
  <c r="C359" i="4" s="1"/>
  <c r="C153" i="4" a="1"/>
  <c r="C153" i="4" s="1"/>
  <c r="C321" i="4" a="1"/>
  <c r="C321" i="4" s="1"/>
  <c r="C137" i="4" a="1"/>
  <c r="C137" i="4" s="1"/>
  <c r="C304" i="4" a="1"/>
  <c r="C304" i="4" s="1"/>
  <c r="C176" i="4" a="1"/>
  <c r="C176" i="4" s="1"/>
  <c r="C279" i="4" a="1"/>
  <c r="C279" i="4" s="1"/>
  <c r="C151" i="4" a="1"/>
  <c r="C151" i="4" s="1"/>
  <c r="C489" i="4" a="1"/>
  <c r="C489" i="4" s="1"/>
  <c r="C518" i="4" a="1"/>
  <c r="C518" i="4" s="1"/>
  <c r="C390" i="4" a="1"/>
  <c r="C390" i="4" s="1"/>
  <c r="C262" i="4" a="1"/>
  <c r="C262" i="4" s="1"/>
  <c r="C134" i="4" a="1"/>
  <c r="C134" i="4" s="1"/>
  <c r="C177" i="4" a="1"/>
  <c r="C177" i="4" s="1"/>
  <c r="C477" i="4" a="1"/>
  <c r="C477" i="4" s="1"/>
  <c r="C349" i="4" a="1"/>
  <c r="C349" i="4" s="1"/>
  <c r="C221" i="4" a="1"/>
  <c r="C221" i="4" s="1"/>
  <c r="C93" i="4" a="1"/>
  <c r="C93" i="4" s="1"/>
  <c r="C360" i="4" a="1"/>
  <c r="C360" i="4" s="1"/>
  <c r="C516" i="4" a="1"/>
  <c r="C516" i="4" s="1"/>
  <c r="C388" i="4" a="1"/>
  <c r="C388" i="4" s="1"/>
  <c r="C260" i="4" a="1"/>
  <c r="C260" i="4" s="1"/>
  <c r="C132" i="4" a="1"/>
  <c r="C132" i="4" s="1"/>
  <c r="C281" i="4" a="1"/>
  <c r="C281" i="4" s="1"/>
  <c r="C459" i="4" a="1"/>
  <c r="C459" i="4" s="1"/>
  <c r="C331" i="4" a="1"/>
  <c r="C331" i="4" s="1"/>
  <c r="C203" i="4" a="1"/>
  <c r="C203" i="4" s="1"/>
  <c r="C75" i="4" a="1"/>
  <c r="C75" i="4" s="1"/>
  <c r="C474" i="4" a="1"/>
  <c r="C474" i="4" s="1"/>
  <c r="C346" i="4" a="1"/>
  <c r="C346" i="4" s="1"/>
  <c r="C218" i="4" a="1"/>
  <c r="C218" i="4" s="1"/>
  <c r="C90" i="4" a="1"/>
  <c r="C90" i="4" s="1"/>
  <c r="C416" i="4" a="1"/>
  <c r="C416" i="4" s="1"/>
  <c r="C377" i="4" a="1"/>
  <c r="C377" i="4" s="1"/>
  <c r="C521" i="4" a="1"/>
  <c r="C521" i="4" s="1"/>
  <c r="C168" i="4" a="1"/>
  <c r="C168" i="4" s="1"/>
  <c r="C368" i="4" a="1"/>
  <c r="C368" i="4" s="1"/>
  <c r="C271" i="4" a="1"/>
  <c r="C271" i="4" s="1"/>
  <c r="C143" i="4" a="1"/>
  <c r="C143" i="4" s="1"/>
  <c r="C441" i="4" a="1"/>
  <c r="C441" i="4" s="1"/>
  <c r="C510" i="4" a="1"/>
  <c r="C510" i="4" s="1"/>
  <c r="C382" i="4" a="1"/>
  <c r="C382" i="4" s="1"/>
  <c r="C254" i="4" a="1"/>
  <c r="C254" i="4" s="1"/>
  <c r="C126" i="4" a="1"/>
  <c r="C126" i="4" s="1"/>
  <c r="C488" i="4" a="1"/>
  <c r="C488" i="4" s="1"/>
  <c r="C469" i="4" a="1"/>
  <c r="C469" i="4" s="1"/>
  <c r="C341" i="4" a="1"/>
  <c r="C341" i="4" s="1"/>
  <c r="C213" i="4" a="1"/>
  <c r="C213" i="4" s="1"/>
  <c r="C85" i="4" a="1"/>
  <c r="C85" i="4" s="1"/>
  <c r="C519" i="4" a="1"/>
  <c r="C519" i="4" s="1"/>
  <c r="C508" i="4" a="1"/>
  <c r="C508" i="4" s="1"/>
  <c r="C380" i="4" a="1"/>
  <c r="C380" i="4" s="1"/>
  <c r="C252" i="4" a="1"/>
  <c r="C252" i="4" s="1"/>
  <c r="C124" i="4" a="1"/>
  <c r="C124" i="4" s="1"/>
  <c r="C193" i="4" a="1"/>
  <c r="C193" i="4" s="1"/>
  <c r="C451" i="4" a="1"/>
  <c r="C451" i="4" s="1"/>
  <c r="C323" i="4" a="1"/>
  <c r="C323" i="4" s="1"/>
  <c r="C195" i="4" a="1"/>
  <c r="C195" i="4" s="1"/>
  <c r="C67" i="4" a="1"/>
  <c r="C67" i="4" s="1"/>
  <c r="C466" i="4" a="1"/>
  <c r="C466" i="4" s="1"/>
  <c r="C338" i="4" a="1"/>
  <c r="C338" i="4" s="1"/>
  <c r="C210" i="4" a="1"/>
  <c r="C210" i="4" s="1"/>
  <c r="C82" i="4" a="1"/>
  <c r="C82" i="4" s="1"/>
  <c r="C391" i="4" a="1"/>
  <c r="C391" i="4" s="1"/>
  <c r="C454" i="4" a="1"/>
  <c r="C454" i="4" s="1"/>
  <c r="C196" i="4" a="1"/>
  <c r="C196" i="4" s="1"/>
  <c r="C241" i="4" a="1"/>
  <c r="C241" i="4" s="1"/>
  <c r="C79" i="4" a="1"/>
  <c r="C79" i="4" s="1"/>
  <c r="C533" i="4" a="1"/>
  <c r="C533" i="4" s="1"/>
  <c r="C327" i="4" a="1"/>
  <c r="C327" i="4" s="1"/>
  <c r="C166" i="4" a="1"/>
  <c r="C166" i="4" s="1"/>
  <c r="C296" i="4" a="1"/>
  <c r="C296" i="4" s="1"/>
  <c r="C313" i="4" a="1"/>
  <c r="C313" i="4" s="1"/>
  <c r="C121" i="4" a="1"/>
  <c r="C121" i="4" s="1"/>
  <c r="C288" i="4" a="1"/>
  <c r="C288" i="4" s="1"/>
  <c r="C160" i="4" a="1"/>
  <c r="C160" i="4" s="1"/>
  <c r="C464" i="4" a="1"/>
  <c r="C464" i="4" s="1"/>
  <c r="C263" i="4" a="1"/>
  <c r="C263" i="4" s="1"/>
  <c r="C135" i="4" a="1"/>
  <c r="C135" i="4" s="1"/>
  <c r="C401" i="4" a="1"/>
  <c r="C401" i="4" s="1"/>
  <c r="C502" i="4" a="1"/>
  <c r="C502" i="4" s="1"/>
  <c r="C374" i="4" a="1"/>
  <c r="C374" i="4" s="1"/>
  <c r="C246" i="4" a="1"/>
  <c r="C246" i="4" s="1"/>
  <c r="C118" i="4" a="1"/>
  <c r="C118" i="4" s="1"/>
  <c r="C440" i="4" a="1"/>
  <c r="C440" i="4" s="1"/>
  <c r="C461" i="4" a="1"/>
  <c r="C461" i="4" s="1"/>
  <c r="C333" i="4" a="1"/>
  <c r="C333" i="4" s="1"/>
  <c r="C205" i="4" a="1"/>
  <c r="C205" i="4" s="1"/>
  <c r="C77" i="4" a="1"/>
  <c r="C77" i="4" s="1"/>
  <c r="C375" i="4" a="1"/>
  <c r="C375" i="4" s="1"/>
  <c r="C500" i="4" a="1"/>
  <c r="C500" i="4" s="1"/>
  <c r="C372" i="4" a="1"/>
  <c r="C372" i="4" s="1"/>
  <c r="C244" i="4" a="1"/>
  <c r="C244" i="4" s="1"/>
  <c r="C116" i="4" a="1"/>
  <c r="C116" i="4" s="1"/>
  <c r="C472" i="4" a="1"/>
  <c r="C472" i="4" s="1"/>
  <c r="C443" i="4" a="1"/>
  <c r="C443" i="4" s="1"/>
  <c r="C315" i="4" a="1"/>
  <c r="C315" i="4" s="1"/>
  <c r="C187" i="4" a="1"/>
  <c r="C187" i="4" s="1"/>
  <c r="C458" i="4" a="1"/>
  <c r="C458" i="4" s="1"/>
  <c r="C330" i="4" a="1"/>
  <c r="C330" i="4" s="1"/>
  <c r="C202" i="4" a="1"/>
  <c r="C202" i="4" s="1"/>
  <c r="C74" i="4" a="1"/>
  <c r="C74" i="4" s="1"/>
  <c r="C376" i="4" a="1"/>
  <c r="C376" i="4" s="1"/>
  <c r="C343" i="4" a="1"/>
  <c r="C343" i="4" s="1"/>
  <c r="C70" i="4" a="1"/>
  <c r="C70" i="4" s="1"/>
  <c r="C448" i="4" a="1"/>
  <c r="C448" i="4" s="1"/>
  <c r="C277" i="4" a="1"/>
  <c r="C277" i="4" s="1"/>
  <c r="C233" i="4" a="1"/>
  <c r="C233" i="4" s="1"/>
  <c r="C208" i="4" a="1"/>
  <c r="C208" i="4" s="1"/>
  <c r="C422" i="4" a="1"/>
  <c r="C422" i="4" s="1"/>
  <c r="C129" i="4" a="1"/>
  <c r="C129" i="4" s="1"/>
  <c r="C513" i="4" a="1"/>
  <c r="C513" i="4" s="1"/>
  <c r="C113" i="4" a="1"/>
  <c r="C113" i="4" s="1"/>
  <c r="C280" i="4" a="1"/>
  <c r="C280" i="4" s="1"/>
  <c r="C152" i="4" a="1"/>
  <c r="C152" i="4" s="1"/>
  <c r="C471" i="4" a="1"/>
  <c r="C471" i="4" s="1"/>
  <c r="C255" i="4" a="1"/>
  <c r="C255" i="4" s="1"/>
  <c r="C127" i="4" a="1"/>
  <c r="C127" i="4" s="1"/>
  <c r="C353" i="4" a="1"/>
  <c r="C353" i="4" s="1"/>
  <c r="C494" i="4" a="1"/>
  <c r="C494" i="4" s="1"/>
  <c r="C366" i="4" a="1"/>
  <c r="C366" i="4" s="1"/>
  <c r="C238" i="4" a="1"/>
  <c r="C238" i="4" s="1"/>
  <c r="C110" i="4" a="1"/>
  <c r="C110" i="4" s="1"/>
  <c r="C400" i="4" a="1"/>
  <c r="C400" i="4" s="1"/>
  <c r="C453" i="4" a="1"/>
  <c r="C453" i="4" s="1"/>
  <c r="C325" i="4" a="1"/>
  <c r="C325" i="4" s="1"/>
  <c r="C197" i="4" a="1"/>
  <c r="C197" i="4" s="1"/>
  <c r="C69" i="4" a="1"/>
  <c r="C69" i="4" s="1"/>
  <c r="C465" i="4" a="1"/>
  <c r="C465" i="4" s="1"/>
  <c r="C492" i="4" a="1"/>
  <c r="C492" i="4" s="1"/>
  <c r="C364" i="4" a="1"/>
  <c r="C364" i="4" s="1"/>
  <c r="C236" i="4" a="1"/>
  <c r="C236" i="4" s="1"/>
  <c r="C108" i="4" a="1"/>
  <c r="C108" i="4" s="1"/>
  <c r="C424" i="4" a="1"/>
  <c r="C424" i="4" s="1"/>
  <c r="C435" i="4" a="1"/>
  <c r="C435" i="4" s="1"/>
  <c r="C307" i="4" a="1"/>
  <c r="C307" i="4" s="1"/>
  <c r="C179" i="4" a="1"/>
  <c r="C179" i="4" s="1"/>
  <c r="C450" i="4" a="1"/>
  <c r="C450" i="4" s="1"/>
  <c r="C322" i="4" a="1"/>
  <c r="C322" i="4" s="1"/>
  <c r="C194" i="4" a="1"/>
  <c r="C194" i="4" s="1"/>
  <c r="C66" i="4" a="1"/>
  <c r="C66" i="4" s="1"/>
  <c r="C433" i="4" a="1"/>
  <c r="C433" i="4" s="1"/>
  <c r="C358" i="4" a="1"/>
  <c r="C358" i="4" s="1"/>
  <c r="C445" i="4" a="1"/>
  <c r="C445" i="4" s="1"/>
  <c r="C317" i="4" a="1"/>
  <c r="C317" i="4" s="1"/>
  <c r="C409" i="4" a="1"/>
  <c r="C409" i="4" s="1"/>
  <c r="C484" i="4" a="1"/>
  <c r="C484" i="4" s="1"/>
  <c r="C356" i="4" a="1"/>
  <c r="C356" i="4" s="1"/>
  <c r="C228" i="4" a="1"/>
  <c r="C228" i="4" s="1"/>
  <c r="C100" i="4" a="1"/>
  <c r="C100" i="4" s="1"/>
  <c r="C320" i="4" a="1"/>
  <c r="C320" i="4" s="1"/>
  <c r="C427" i="4" a="1"/>
  <c r="C427" i="4" s="1"/>
  <c r="C299" i="4" a="1"/>
  <c r="C299" i="4" s="1"/>
  <c r="C171" i="4" a="1"/>
  <c r="C171" i="4" s="1"/>
  <c r="C442" i="4" a="1"/>
  <c r="C442" i="4" s="1"/>
  <c r="C314" i="4" a="1"/>
  <c r="C314" i="4" s="1"/>
  <c r="C186" i="4" a="1"/>
  <c r="C186" i="4" s="1"/>
  <c r="C240" i="4" a="1"/>
  <c r="C240" i="4" s="1"/>
  <c r="C285" i="4" a="1"/>
  <c r="C285" i="4" s="1"/>
  <c r="C272" i="4" a="1"/>
  <c r="C272" i="4" s="1"/>
  <c r="C247" i="4" a="1"/>
  <c r="C247" i="4" s="1"/>
  <c r="C486" i="4" a="1"/>
  <c r="C486" i="4" s="1"/>
  <c r="C102" i="4" a="1"/>
  <c r="C102" i="4" s="1"/>
  <c r="C61" i="4" a="1"/>
  <c r="C61" i="4" s="1"/>
  <c r="C385" i="4" a="1"/>
  <c r="C385" i="4" s="1"/>
  <c r="C97" i="4" a="1"/>
  <c r="C97" i="4" s="1"/>
  <c r="C264" i="4" a="1"/>
  <c r="C264" i="4" s="1"/>
  <c r="C136" i="4" a="1"/>
  <c r="C136" i="4" s="1"/>
  <c r="C423" i="4" a="1"/>
  <c r="C423" i="4" s="1"/>
  <c r="C239" i="4" a="1"/>
  <c r="C239" i="4" s="1"/>
  <c r="C111" i="4" a="1"/>
  <c r="C111" i="4" s="1"/>
  <c r="C201" i="4" a="1"/>
  <c r="C201" i="4" s="1"/>
  <c r="C478" i="4" a="1"/>
  <c r="C478" i="4" s="1"/>
  <c r="C350" i="4" a="1"/>
  <c r="C350" i="4" s="1"/>
  <c r="C222" i="4" a="1"/>
  <c r="C222" i="4" s="1"/>
  <c r="C94" i="4" a="1"/>
  <c r="C94" i="4" s="1"/>
  <c r="C503" i="4" a="1"/>
  <c r="C503" i="4" s="1"/>
  <c r="C437" i="4" a="1"/>
  <c r="C437" i="4" s="1"/>
  <c r="C309" i="4" a="1"/>
  <c r="C309" i="4" s="1"/>
  <c r="C181" i="4" a="1"/>
  <c r="C181" i="4" s="1"/>
  <c r="C329" i="4" a="1"/>
  <c r="C329" i="4" s="1"/>
  <c r="C476" i="4" a="1"/>
  <c r="C476" i="4" s="1"/>
  <c r="C348" i="4" a="1"/>
  <c r="C348" i="4" s="1"/>
  <c r="C220" i="4" a="1"/>
  <c r="C220" i="4" s="1"/>
  <c r="C92" i="4" a="1"/>
  <c r="C92" i="4" s="1"/>
  <c r="C527" i="4" a="1"/>
  <c r="C527" i="4" s="1"/>
  <c r="C419" i="4" a="1"/>
  <c r="C419" i="4" s="1"/>
  <c r="C291" i="4" a="1"/>
  <c r="C291" i="4" s="1"/>
  <c r="C163" i="4" a="1"/>
  <c r="C163" i="4" s="1"/>
  <c r="C392" i="4" a="1"/>
  <c r="C392" i="4" s="1"/>
  <c r="C434" i="4" a="1"/>
  <c r="C434" i="4" s="1"/>
  <c r="C306" i="4" a="1"/>
  <c r="C306" i="4" s="1"/>
  <c r="C178" i="4" a="1"/>
  <c r="C178" i="4" s="1"/>
  <c r="C275" i="4" a="1"/>
  <c r="C275" i="4" s="1"/>
  <c r="C73" i="4" a="1"/>
  <c r="C73" i="4" s="1"/>
  <c r="C198" i="4" a="1"/>
  <c r="C198" i="4" s="1"/>
  <c r="C452" i="4" a="1"/>
  <c r="C452" i="4" s="1"/>
  <c r="C105" i="4" a="1"/>
  <c r="C105" i="4" s="1"/>
  <c r="C144" i="4" a="1"/>
  <c r="C144" i="4" s="1"/>
  <c r="C431" i="4" a="1"/>
  <c r="C431" i="4" s="1"/>
  <c r="C119" i="4" a="1"/>
  <c r="C119" i="4" s="1"/>
  <c r="C289" i="4" a="1"/>
  <c r="C289" i="4" s="1"/>
  <c r="C230" i="4" a="1"/>
  <c r="C230" i="4" s="1"/>
  <c r="C344" i="4" a="1"/>
  <c r="C344" i="4" s="1"/>
  <c r="C189" i="4" a="1"/>
  <c r="C189" i="4" s="1"/>
  <c r="C305" i="4" a="1"/>
  <c r="C305" i="4" s="1"/>
  <c r="C89" i="4" a="1"/>
  <c r="C89" i="4" s="1"/>
  <c r="C256" i="4" a="1"/>
  <c r="C256" i="4" s="1"/>
  <c r="C128" i="4" a="1"/>
  <c r="C128" i="4" s="1"/>
  <c r="C415" i="4" a="1"/>
  <c r="C415" i="4" s="1"/>
  <c r="C231" i="4" a="1"/>
  <c r="C231" i="4" s="1"/>
  <c r="C103" i="4" a="1"/>
  <c r="C103" i="4" s="1"/>
  <c r="C528" i="4" a="1"/>
  <c r="C528" i="4" s="1"/>
  <c r="C470" i="4" a="1"/>
  <c r="C470" i="4" s="1"/>
  <c r="C342" i="4" a="1"/>
  <c r="C342" i="4" s="1"/>
  <c r="C214" i="4" a="1"/>
  <c r="C214" i="4" s="1"/>
  <c r="C86" i="4" a="1"/>
  <c r="C86" i="4" s="1"/>
  <c r="C463" i="4" a="1"/>
  <c r="C463" i="4" s="1"/>
  <c r="C429" i="4" a="1"/>
  <c r="C429" i="4" s="1"/>
  <c r="C301" i="4" a="1"/>
  <c r="C301" i="4" s="1"/>
  <c r="C173" i="4" a="1"/>
  <c r="C173" i="4" s="1"/>
  <c r="C185" i="4" a="1"/>
  <c r="C185" i="4" s="1"/>
  <c r="C468" i="4" a="1"/>
  <c r="C468" i="4" s="1"/>
  <c r="C340" i="4" a="1"/>
  <c r="C340" i="4" s="1"/>
  <c r="C212" i="4" a="1"/>
  <c r="C212" i="4" s="1"/>
  <c r="C84" i="4" a="1"/>
  <c r="C84" i="4" s="1"/>
  <c r="C479" i="4" a="1"/>
  <c r="C479" i="4" s="1"/>
  <c r="C411" i="4" a="1"/>
  <c r="C411" i="4" s="1"/>
  <c r="C283" i="4" a="1"/>
  <c r="C283" i="4" s="1"/>
  <c r="C155" i="4" a="1"/>
  <c r="C155" i="4" s="1"/>
  <c r="C491" i="4" a="1"/>
  <c r="C491" i="4" s="1"/>
  <c r="C426" i="4" a="1"/>
  <c r="C426" i="4" s="1"/>
  <c r="C298" i="4" a="1"/>
  <c r="C298" i="4" s="1"/>
  <c r="C170" i="4" a="1"/>
  <c r="C170" i="4" s="1"/>
  <c r="C35" i="4"/>
  <c r="B55" i="4" a="1"/>
  <c r="B51" i="4" a="1"/>
  <c r="B49" i="4" a="1"/>
  <c r="B193" i="4" a="1"/>
  <c r="B381" i="4" a="1"/>
  <c r="B450" i="4" a="1"/>
  <c r="B449" i="4" a="1"/>
  <c r="B321" i="4" a="1"/>
  <c r="B253" i="4" a="1"/>
  <c r="B473" i="4" a="1"/>
  <c r="B238" i="4" a="1"/>
  <c r="B73" i="4" a="1"/>
  <c r="B457" i="4" a="1"/>
  <c r="B353" i="4" a="1"/>
  <c r="B345" i="4" a="1"/>
  <c r="B364" i="4" a="1"/>
  <c r="B82" i="4" a="1"/>
  <c r="B531" i="4" a="1"/>
  <c r="B307" i="4" a="1"/>
  <c r="B404" i="4" a="1"/>
  <c r="B481" i="4" a="1"/>
  <c r="B217" i="4" a="1"/>
  <c r="B465" i="4" a="1"/>
  <c r="B337" i="4" a="1"/>
  <c r="B442" i="4" a="1"/>
  <c r="B74" i="4" a="1"/>
  <c r="B401" i="4" a="1"/>
  <c r="B420" i="4" a="1"/>
  <c r="B527" i="4" a="1"/>
  <c r="B291" i="4" a="1"/>
  <c r="B102" i="4" a="1"/>
  <c r="B273" i="4" a="1"/>
  <c r="B329" i="4" a="1"/>
  <c r="B314" i="4" a="1"/>
  <c r="B327" i="4" a="1"/>
  <c r="B145" i="4" a="1"/>
  <c r="B444" i="4" a="1"/>
  <c r="B210" i="4" a="1"/>
  <c r="B201" i="4" a="1"/>
  <c r="B415" i="4" a="1"/>
  <c r="B380" i="4" a="1"/>
  <c r="B315" i="4" a="1"/>
  <c r="B71" i="4" a="1"/>
  <c r="B372" i="4" a="1"/>
  <c r="B178" i="4" a="1"/>
  <c r="B130" i="4" a="1"/>
  <c r="B163" i="4" a="1"/>
  <c r="B298" i="4" a="1"/>
  <c r="B155" i="4" a="1"/>
  <c r="B514" i="4" a="1"/>
  <c r="B66" i="4" a="1"/>
  <c r="B185" i="4" a="1"/>
  <c r="B252" i="4" a="1"/>
  <c r="B410" i="4" a="1"/>
  <c r="B153" i="4" a="1"/>
  <c r="B474" i="4" a="1"/>
  <c r="B458" i="4" a="1"/>
  <c r="B117" i="4" a="1"/>
  <c r="B466" i="4" a="1"/>
  <c r="B366" i="4" a="1"/>
  <c r="B239" i="4" a="1"/>
  <c r="B374" i="4" a="1"/>
  <c r="B89" i="4" a="1"/>
  <c r="B245" i="4" a="1"/>
  <c r="B225" i="4" a="1"/>
  <c r="B330" i="4" a="1"/>
  <c r="B313" i="4" a="1"/>
  <c r="B375" i="4" a="1"/>
  <c r="B498" i="4" a="1"/>
  <c r="B419" i="4" a="1"/>
  <c r="B202" i="4" a="1"/>
  <c r="B482" i="4" a="1"/>
  <c r="B435" i="4" a="1"/>
  <c r="B338" i="4" a="1"/>
  <c r="B147" i="4" a="1"/>
  <c r="B124" i="4" a="1"/>
  <c r="B125" i="4" a="1"/>
  <c r="B230" i="4" a="1"/>
  <c r="B170" i="4" a="1"/>
  <c r="B79" i="4" a="1"/>
  <c r="B187" i="4" a="1"/>
  <c r="B275" i="4" a="1"/>
  <c r="B471" i="4" a="1"/>
  <c r="B441" i="4" a="1"/>
  <c r="B49" i="4" l="1"/>
  <c r="B51" i="4"/>
  <c r="B55" i="4"/>
  <c r="B441" i="4"/>
  <c r="B275" i="4"/>
  <c r="B79" i="4"/>
  <c r="B170" i="4"/>
  <c r="B125" i="4"/>
  <c r="B124" i="4"/>
  <c r="B338" i="4"/>
  <c r="B435" i="4"/>
  <c r="B482" i="4"/>
  <c r="B202" i="4"/>
  <c r="B375" i="4"/>
  <c r="B313" i="4"/>
  <c r="B330" i="4"/>
  <c r="B245" i="4"/>
  <c r="B374" i="4"/>
  <c r="B239" i="4"/>
  <c r="B366" i="4"/>
  <c r="B466" i="4"/>
  <c r="B117" i="4"/>
  <c r="B458" i="4"/>
  <c r="B410" i="4"/>
  <c r="B66" i="4"/>
  <c r="B514" i="4"/>
  <c r="B155" i="4"/>
  <c r="B298" i="4"/>
  <c r="B163" i="4"/>
  <c r="B130" i="4"/>
  <c r="B178" i="4"/>
  <c r="B372" i="4"/>
  <c r="B380" i="4"/>
  <c r="B201" i="4"/>
  <c r="B145" i="4"/>
  <c r="B327" i="4"/>
  <c r="B314" i="4"/>
  <c r="B291" i="4"/>
  <c r="B527" i="4"/>
  <c r="B420" i="4"/>
  <c r="B401" i="4"/>
  <c r="B442" i="4"/>
  <c r="B217" i="4"/>
  <c r="B404" i="4"/>
  <c r="B364" i="4"/>
  <c r="B345" i="4"/>
  <c r="B353" i="4"/>
  <c r="B457" i="4"/>
  <c r="B450" i="4"/>
  <c r="B381" i="4"/>
  <c r="B193" i="4"/>
  <c r="B82" i="4"/>
  <c r="B185" i="4"/>
  <c r="B253" i="4"/>
  <c r="B465" i="4"/>
  <c r="B74" i="4"/>
  <c r="B321" i="4"/>
  <c r="B71" i="4"/>
  <c r="B252" i="4"/>
  <c r="B153" i="4"/>
  <c r="B415" i="4"/>
  <c r="B473" i="4"/>
  <c r="B419" i="4"/>
  <c r="B471" i="4"/>
  <c r="B147" i="4"/>
  <c r="B273" i="4"/>
  <c r="B230" i="4"/>
  <c r="B449" i="4"/>
  <c r="B187" i="4"/>
  <c r="B225" i="4"/>
  <c r="B337" i="4"/>
  <c r="B102" i="4"/>
  <c r="B210" i="4"/>
  <c r="B73" i="4"/>
  <c r="B498" i="4"/>
  <c r="B315" i="4"/>
  <c r="B481" i="4"/>
  <c r="B307" i="4"/>
  <c r="B531" i="4"/>
  <c r="B474" i="4"/>
  <c r="B238" i="4"/>
  <c r="B89" i="4"/>
  <c r="B329" i="4"/>
  <c r="B444" i="4"/>
  <c r="E300" i="4" l="1"/>
  <c r="D300" i="4" l="1"/>
  <c r="B181" i="4" a="1"/>
  <c r="B265" i="4" a="1"/>
  <c r="B421" i="4" a="1"/>
  <c r="B246" i="4" a="1"/>
  <c r="B485" i="4" a="1"/>
  <c r="B468" i="4" a="1"/>
  <c r="B339" i="4" a="1"/>
  <c r="B289" i="4" a="1"/>
  <c r="B520" i="4" a="1"/>
  <c r="B382" i="4" a="1"/>
  <c r="B120" i="4" a="1"/>
  <c r="B456" i="4" a="1"/>
  <c r="B323" i="4" a="1"/>
  <c r="B395" i="4" a="1"/>
  <c r="B87" i="4" a="1"/>
  <c r="B356" i="4" a="1"/>
  <c r="B205" i="4" a="1"/>
  <c r="B86" i="4" a="1"/>
  <c r="B492" i="4" a="1"/>
  <c r="B101" i="4" a="1"/>
  <c r="B282" i="4" a="1"/>
  <c r="B512" i="4" a="1"/>
  <c r="B377" i="4" a="1"/>
  <c r="B464" i="4" a="1"/>
  <c r="B88" i="4" a="1"/>
  <c r="B200" i="4" a="1"/>
  <c r="B154" i="4" a="1"/>
  <c r="B173" i="4" a="1"/>
  <c r="B91" i="4" a="1"/>
  <c r="B490" i="4" a="1"/>
  <c r="B220" i="4" a="1"/>
  <c r="B112" i="4" a="1"/>
  <c r="B516" i="4" a="1"/>
  <c r="B122" i="4" a="1"/>
  <c r="B266" i="4" a="1"/>
  <c r="B244" i="4" a="1"/>
  <c r="B226" i="4" a="1"/>
  <c r="B169" i="4" a="1"/>
  <c r="B470" i="4" a="1"/>
  <c r="B405" i="4" a="1"/>
  <c r="B290" i="4" a="1"/>
  <c r="B135" i="4" a="1"/>
  <c r="B70" i="4" a="1"/>
  <c r="B61" i="4" a="1"/>
  <c r="B335" i="4" a="1"/>
  <c r="B412" i="4" a="1"/>
  <c r="B228" i="4" a="1"/>
  <c r="B513" i="4" a="1"/>
  <c r="B443" i="4" a="1"/>
  <c r="B241" i="4" a="1"/>
  <c r="B144" i="4" a="1"/>
  <c r="B92" i="4" a="1"/>
  <c r="B280" i="4" a="1"/>
  <c r="B391" i="4" a="1"/>
  <c r="B460" i="4" a="1"/>
  <c r="B348" i="4" a="1"/>
  <c r="B294" i="4" a="1"/>
  <c r="B396" i="4" a="1"/>
  <c r="B530" i="4" a="1"/>
  <c r="B333" i="4" a="1"/>
  <c r="B392" i="4" a="1"/>
  <c r="B340" i="4" a="1"/>
  <c r="B234" i="4" a="1"/>
  <c r="B263" i="4" a="1"/>
  <c r="B151" i="4" a="1"/>
  <c r="B451" i="4" a="1"/>
  <c r="B320" i="4" a="1"/>
  <c r="B159" i="4" a="1"/>
  <c r="B69" i="4" a="1"/>
  <c r="B224" i="4" a="1"/>
  <c r="B400" i="4" a="1"/>
  <c r="B446" i="4" a="1"/>
  <c r="B477" i="4" a="1"/>
  <c r="B118" i="4" a="1"/>
  <c r="B161" i="4" a="1"/>
  <c r="B500" i="4" a="1"/>
  <c r="B304" i="4" a="1"/>
  <c r="B206" i="4" a="1"/>
  <c r="B214" i="4" a="1"/>
  <c r="B189" i="4" a="1"/>
  <c r="B349" i="4" a="1"/>
  <c r="B207" i="4" a="1"/>
  <c r="B107" i="4" a="1"/>
  <c r="B432" i="4" a="1"/>
  <c r="B509" i="4" a="1"/>
  <c r="B261" i="4" a="1"/>
  <c r="B388" i="4" a="1"/>
  <c r="B235" i="4" a="1"/>
  <c r="C40" i="4" a="1"/>
  <c r="B425" i="4" a="1"/>
  <c r="B164" i="4" a="1"/>
  <c r="B436" i="4" a="1"/>
  <c r="B137" i="4" a="1"/>
  <c r="B344" i="4" a="1"/>
  <c r="B167" i="4" a="1"/>
  <c r="B195" i="4" a="1"/>
  <c r="B119" i="4" a="1"/>
  <c r="B222" i="4" a="1"/>
  <c r="B218" i="4" a="1"/>
  <c r="B347" i="4" a="1"/>
  <c r="B109" i="4" a="1"/>
  <c r="B100" i="4" a="1"/>
  <c r="B397" i="4" a="1"/>
  <c r="B529" i="4" a="1"/>
  <c r="B131" i="4" a="1"/>
  <c r="B295" i="4" a="1"/>
  <c r="B110" i="4" a="1"/>
  <c r="B140" i="4" a="1"/>
  <c r="B306" i="4" a="1"/>
  <c r="B288" i="4" a="1"/>
  <c r="B359" i="4" a="1"/>
  <c r="B526" i="4" a="1"/>
  <c r="B343" i="4" a="1"/>
  <c r="B158" i="4" a="1"/>
  <c r="B365" i="4" a="1"/>
  <c r="B528" i="4" a="1"/>
  <c r="B361" i="4" a="1"/>
  <c r="B136" i="4" a="1"/>
  <c r="B269" i="4" a="1"/>
  <c r="B467" i="4" a="1"/>
  <c r="B437" i="4" a="1"/>
  <c r="B521" i="4" a="1"/>
  <c r="B297" i="4" a="1"/>
  <c r="B311" i="4" a="1"/>
  <c r="B463" i="4" a="1"/>
  <c r="B524" i="4" a="1"/>
  <c r="B494" i="4" a="1"/>
  <c r="B141" i="4" a="1"/>
  <c r="B394" i="4" a="1"/>
  <c r="B355" i="4" a="1"/>
  <c r="B515" i="4" a="1"/>
  <c r="B233" i="4" a="1"/>
  <c r="B182" i="4" a="1"/>
  <c r="B426" i="4" a="1"/>
  <c r="B403" i="4" a="1"/>
  <c r="B491" i="4" a="1"/>
  <c r="B115" i="4" a="1"/>
  <c r="B417" i="4" a="1"/>
  <c r="B325" i="4" a="1"/>
  <c r="B434" i="4" a="1"/>
  <c r="B299" i="4" a="1"/>
  <c r="B103" i="4" a="1"/>
  <c r="B480" i="4" a="1"/>
  <c r="B188" i="4" a="1"/>
  <c r="B399" i="4" a="1"/>
  <c r="B258" i="4" a="1"/>
  <c r="B272" i="4" a="1"/>
  <c r="B274" i="4" a="1"/>
  <c r="B221" i="4" a="1"/>
  <c r="B204" i="4" a="1"/>
  <c r="B502" i="4" a="1"/>
  <c r="B414" i="4" a="1"/>
  <c r="B475" i="4" a="1"/>
  <c r="B354" i="4" a="1"/>
  <c r="B283" i="4" a="1"/>
  <c r="B488" i="4" a="1"/>
  <c r="B127" i="4" a="1"/>
  <c r="B95" i="4" a="1"/>
  <c r="B286" i="4" a="1"/>
  <c r="B317" i="4" a="1"/>
  <c r="B406" i="4" a="1"/>
  <c r="B177" i="4" a="1"/>
  <c r="B390" i="4" a="1"/>
  <c r="B148" i="4" a="1"/>
  <c r="B433" i="4" a="1"/>
  <c r="B105" i="4" a="1"/>
  <c r="B287" i="4" a="1"/>
  <c r="B328" i="4" a="1"/>
  <c r="B478" i="4" a="1"/>
  <c r="B262" i="4" a="1"/>
  <c r="B62" i="4" a="1"/>
  <c r="B108" i="4" a="1"/>
  <c r="B113" i="4" a="1"/>
  <c r="B312" i="4" a="1"/>
  <c r="B504" i="4" a="1"/>
  <c r="B203" i="4" a="1"/>
  <c r="B495" i="4" a="1"/>
  <c r="B232" i="4" a="1"/>
  <c r="B461" i="4" a="1"/>
  <c r="B472" i="4" a="1"/>
  <c r="B518" i="4" a="1"/>
  <c r="B413" i="4" a="1"/>
  <c r="B78" i="4" a="1"/>
  <c r="B81" i="4" a="1"/>
  <c r="B64" i="4" a="1"/>
  <c r="B278" i="4" a="1"/>
  <c r="B250" i="4" a="1"/>
  <c r="B409" i="4" a="1"/>
  <c r="B476" i="4" a="1"/>
  <c r="B416" i="4" a="1"/>
  <c r="B242" i="4" a="1"/>
  <c r="B76" i="4" a="1"/>
  <c r="B423" i="4" a="1"/>
  <c r="B196" i="4" a="1"/>
  <c r="B358" i="4" a="1"/>
  <c r="B324" i="4" a="1"/>
  <c r="B316" i="4" a="1"/>
  <c r="B138" i="4" a="1"/>
  <c r="B236" i="4" a="1"/>
  <c r="B90" i="4" a="1"/>
  <c r="B336" i="4" a="1"/>
  <c r="B176" i="4" a="1"/>
  <c r="B505" i="4" a="1"/>
  <c r="B84" i="4" a="1"/>
  <c r="B360" i="4" a="1"/>
  <c r="B301" i="4" a="1"/>
  <c r="B418" i="4" a="1"/>
  <c r="B116" i="4" a="1"/>
  <c r="B237" i="4" a="1"/>
  <c r="B216" i="4" a="1"/>
  <c r="B370" i="4" a="1"/>
  <c r="B93" i="4" a="1"/>
  <c r="B143" i="4" a="1"/>
  <c r="B264" i="4" a="1"/>
  <c r="B277" i="4" a="1"/>
  <c r="B342" i="4" a="1"/>
  <c r="B162" i="4" a="1"/>
  <c r="B486" i="4" a="1"/>
  <c r="B469" i="4" a="1"/>
  <c r="B184" i="4" a="1"/>
  <c r="B208" i="4" a="1"/>
  <c r="B172" i="4" a="1"/>
  <c r="B511" i="4" a="1"/>
  <c r="B139" i="4" a="1"/>
  <c r="B243" i="4" a="1"/>
  <c r="B351" i="4" a="1"/>
  <c r="B281" i="4" a="1"/>
  <c r="B462" i="4" a="1"/>
  <c r="B493" i="4" a="1"/>
  <c r="B332" i="4" a="1"/>
  <c r="B133" i="4" a="1"/>
  <c r="B510" i="4" a="1"/>
  <c r="B249" i="4" a="1"/>
  <c r="B168" i="4" a="1"/>
  <c r="B123" i="4" a="1"/>
  <c r="B352" i="4" a="1"/>
  <c r="B132" i="4" a="1"/>
  <c r="B533" i="4" a="1"/>
  <c r="B501" i="4" a="1"/>
  <c r="B114" i="4" a="1"/>
  <c r="B309" i="4" a="1"/>
  <c r="B284" i="4" a="1"/>
  <c r="B215" i="4" a="1"/>
  <c r="B483" i="4" a="1"/>
  <c r="B180" i="4" a="1"/>
  <c r="B199" i="4" a="1"/>
  <c r="B508" i="4" a="1"/>
  <c r="B331" i="4" a="1"/>
  <c r="B223" i="4" a="1"/>
  <c r="B363" i="4" a="1"/>
  <c r="B192" i="4" a="1"/>
  <c r="B96" i="4" a="1"/>
  <c r="B171" i="4" a="1"/>
  <c r="B219" i="4" a="1"/>
  <c r="B75" i="4" a="1"/>
  <c r="B334" i="4" a="1"/>
  <c r="B296" i="4" a="1"/>
  <c r="B429" i="4" a="1"/>
  <c r="B256" i="4" a="1"/>
  <c r="B438" i="4" a="1"/>
  <c r="B160" i="4" a="1"/>
  <c r="B267" i="4" a="1"/>
  <c r="B523" i="4" a="1"/>
  <c r="B191" i="4" a="1"/>
  <c r="B134" i="4" a="1"/>
  <c r="B424" i="4" a="1"/>
  <c r="B104" i="4" a="1"/>
  <c r="B85" i="4" a="1"/>
  <c r="B455" i="4" a="1"/>
  <c r="B229" i="4" a="1"/>
  <c r="B68" i="4" a="1"/>
  <c r="B276" i="4" a="1"/>
  <c r="B268" i="4" a="1"/>
  <c r="B506" i="4" a="1"/>
  <c r="B459" i="4" a="1"/>
  <c r="B77" i="4" a="1"/>
  <c r="B209" i="4" a="1"/>
  <c r="B448" i="4" a="1"/>
  <c r="B128" i="4" a="1"/>
  <c r="B292" i="4" a="1"/>
  <c r="B212" i="4" a="1"/>
  <c r="B166" i="4" a="1"/>
  <c r="B285" i="4" a="1"/>
  <c r="B165" i="4" a="1"/>
  <c r="B362" i="4" a="1"/>
  <c r="B197" i="4" a="1"/>
  <c r="B447" i="4" a="1"/>
  <c r="B126" i="4" a="1"/>
  <c r="B80" i="4" a="1"/>
  <c r="B525" i="4" a="1"/>
  <c r="B496" i="4" a="1"/>
  <c r="B402" i="4" a="1"/>
  <c r="B247" i="4" a="1"/>
  <c r="B427" i="4" a="1"/>
  <c r="B318" i="4" a="1"/>
  <c r="B194" i="4" a="1"/>
  <c r="B422" i="4" a="1"/>
  <c r="B302" i="4" a="1"/>
  <c r="B150" i="4" a="1"/>
  <c r="B211" i="4" a="1"/>
  <c r="B310" i="4" a="1"/>
  <c r="B63" i="4" a="1"/>
  <c r="B146" i="4" a="1"/>
  <c r="B326" i="4" a="1"/>
  <c r="B398" i="4" a="1"/>
  <c r="B227" i="4" a="1"/>
  <c r="B152" i="4" a="1"/>
  <c r="B98" i="4" a="1"/>
  <c r="B175" i="4" a="1"/>
  <c r="B305" i="4" a="1"/>
  <c r="B156" i="4" a="1"/>
  <c r="B260" i="4" a="1"/>
  <c r="B350" i="4" a="1"/>
  <c r="B430" i="4" a="1"/>
  <c r="B452" i="4" a="1"/>
  <c r="B499" i="4" a="1"/>
  <c r="B319" i="4" a="1"/>
  <c r="B393" i="4" a="1"/>
  <c r="B369" i="4" a="1"/>
  <c r="B507" i="4" a="1"/>
  <c r="B251" i="4" a="1"/>
  <c r="B408" i="4" a="1"/>
  <c r="B497" i="4" a="1"/>
  <c r="B293" i="4" a="1"/>
  <c r="B254" i="4" a="1"/>
  <c r="B198" i="4" a="1"/>
  <c r="B121" i="4" a="1"/>
  <c r="B270" i="4" a="1"/>
  <c r="B383" i="4" a="1"/>
  <c r="B94" i="4" a="1"/>
  <c r="B248" i="4" a="1"/>
  <c r="B213" i="4" a="1"/>
  <c r="B384" i="4" a="1"/>
  <c r="B303" i="4" a="1"/>
  <c r="B517" i="4" a="1"/>
  <c r="B453" i="4" a="1"/>
  <c r="B142" i="4" a="1"/>
  <c r="B106" i="4" a="1"/>
  <c r="B532" i="4" a="1"/>
  <c r="B428" i="4" a="1"/>
  <c r="B379" i="4" a="1"/>
  <c r="B503" i="4" a="1"/>
  <c r="B487" i="4" a="1"/>
  <c r="B440" i="4" a="1"/>
  <c r="B489" i="4" a="1"/>
  <c r="B157" i="4" a="1"/>
  <c r="B519" i="4" a="1"/>
  <c r="B439" i="4" a="1"/>
  <c r="B454" i="4" a="1"/>
  <c r="B534" i="4" a="1"/>
  <c r="B386" i="4" a="1"/>
  <c r="B367" i="4" a="1"/>
  <c r="B368" i="4" a="1"/>
  <c r="B346" i="4" a="1"/>
  <c r="B373" i="4" a="1"/>
  <c r="B271" i="4" a="1"/>
  <c r="B231" i="4" a="1"/>
  <c r="B431" i="4" a="1"/>
  <c r="B257" i="4" a="1"/>
  <c r="B72" i="4" a="1"/>
  <c r="B186" i="4" a="1"/>
  <c r="B259" i="4" a="1"/>
  <c r="B371" i="4" a="1"/>
  <c r="B376" i="4" a="1"/>
  <c r="B279" i="4" a="1"/>
  <c r="B389" i="4" a="1"/>
  <c r="B99" i="4" a="1"/>
  <c r="B522" i="4" a="1"/>
  <c r="B240" i="4" a="1"/>
  <c r="B479" i="4" a="1"/>
  <c r="B111" i="4" a="1"/>
  <c r="B385" i="4" a="1"/>
  <c r="B308" i="4" a="1"/>
  <c r="B190" i="4" a="1"/>
  <c r="B357" i="4" a="1"/>
  <c r="B387" i="4" a="1"/>
  <c r="B378" i="4" a="1"/>
  <c r="B83" i="4" a="1"/>
  <c r="B411" i="4" a="1"/>
  <c r="B65" i="4" a="1"/>
  <c r="B129" i="4" a="1"/>
  <c r="B174" i="4" a="1"/>
  <c r="B149" i="4" a="1"/>
  <c r="B341" i="4" a="1"/>
  <c r="B183" i="4" a="1"/>
  <c r="B322" i="4" a="1"/>
  <c r="B300" i="4" a="1"/>
  <c r="B67" i="4" a="1"/>
  <c r="B255" i="4" a="1"/>
  <c r="B445" i="4" a="1"/>
  <c r="B424" i="4" l="1"/>
  <c r="B296" i="4"/>
  <c r="B504" i="4"/>
  <c r="B118" i="4"/>
  <c r="B224" i="4"/>
  <c r="B88" i="4"/>
  <c r="B445" i="4"/>
  <c r="B183" i="4"/>
  <c r="B405" i="4"/>
  <c r="B277" i="4"/>
  <c r="B308" i="4"/>
  <c r="B505" i="4"/>
  <c r="B491" i="4"/>
  <c r="B459" i="4"/>
  <c r="B455" i="4"/>
  <c r="B453" i="4"/>
  <c r="B214" i="4"/>
  <c r="B334" i="4"/>
  <c r="B312" i="4"/>
  <c r="B477" i="4"/>
  <c r="B69" i="4"/>
  <c r="B464" i="4"/>
  <c r="B133" i="4"/>
  <c r="B184" i="4"/>
  <c r="B167" i="4"/>
  <c r="B299" i="4"/>
  <c r="B122" i="4"/>
  <c r="B292" i="4"/>
  <c r="B373" i="4"/>
  <c r="B207" i="4"/>
  <c r="B517" i="4"/>
  <c r="B78" i="4"/>
  <c r="B75" i="4"/>
  <c r="B113" i="4"/>
  <c r="B446" i="4"/>
  <c r="B159" i="4"/>
  <c r="B377" i="4"/>
  <c r="B156" i="4"/>
  <c r="B243" i="4"/>
  <c r="B347" i="4"/>
  <c r="B422" i="4"/>
  <c r="B237" i="4"/>
  <c r="B447" i="4"/>
  <c r="B324" i="4"/>
  <c r="B388" i="4"/>
  <c r="B534" i="4"/>
  <c r="B303" i="4"/>
  <c r="B355" i="4"/>
  <c r="B219" i="4"/>
  <c r="B108" i="4"/>
  <c r="B320" i="4"/>
  <c r="B512" i="4"/>
  <c r="B288" i="4"/>
  <c r="B131" i="4"/>
  <c r="B129" i="4"/>
  <c r="B264" i="4"/>
  <c r="B247" i="4"/>
  <c r="B176" i="4"/>
  <c r="B72" i="4"/>
  <c r="B416" i="4"/>
  <c r="B515" i="4"/>
  <c r="B384" i="4"/>
  <c r="B134" i="4"/>
  <c r="B171" i="4"/>
  <c r="B62" i="4"/>
  <c r="B141" i="4"/>
  <c r="B451" i="4"/>
  <c r="B282" i="4"/>
  <c r="B61" i="4"/>
  <c r="B135" i="4"/>
  <c r="B310" i="4"/>
  <c r="B378" i="4"/>
  <c r="B385" i="4"/>
  <c r="B389" i="4"/>
  <c r="B128" i="4"/>
  <c r="B506" i="4"/>
  <c r="B349" i="4"/>
  <c r="B213" i="4"/>
  <c r="B200" i="4"/>
  <c r="B96" i="4"/>
  <c r="B262" i="4"/>
  <c r="B400" i="4"/>
  <c r="B151" i="4"/>
  <c r="B101" i="4"/>
  <c r="B332" i="4"/>
  <c r="B227" i="4"/>
  <c r="B399" i="4"/>
  <c r="B480" i="4"/>
  <c r="B402" i="4"/>
  <c r="B197" i="4"/>
  <c r="B220" i="4"/>
  <c r="B346" i="4"/>
  <c r="B85" i="4"/>
  <c r="B248" i="4"/>
  <c r="B206" i="4"/>
  <c r="B192" i="4"/>
  <c r="B478" i="4"/>
  <c r="B494" i="4"/>
  <c r="B263" i="4"/>
  <c r="B492" i="4"/>
  <c r="B255" i="4"/>
  <c r="B341" i="4"/>
  <c r="B469" i="4"/>
  <c r="B344" i="4"/>
  <c r="B116" i="4"/>
  <c r="B417" i="4"/>
  <c r="B358" i="4"/>
  <c r="B91" i="4"/>
  <c r="B64" i="4"/>
  <c r="B94" i="4"/>
  <c r="B413" i="4"/>
  <c r="B363" i="4"/>
  <c r="B328" i="4"/>
  <c r="B524" i="4"/>
  <c r="B234" i="4"/>
  <c r="B86" i="4"/>
  <c r="B221" i="4"/>
  <c r="B139" i="4"/>
  <c r="B218" i="4"/>
  <c r="B194" i="4"/>
  <c r="B111" i="4"/>
  <c r="B336" i="4"/>
  <c r="B257" i="4"/>
  <c r="B261" i="4"/>
  <c r="B454" i="4"/>
  <c r="B383" i="4"/>
  <c r="B191" i="4"/>
  <c r="B223" i="4"/>
  <c r="B287" i="4"/>
  <c r="B463" i="4"/>
  <c r="B340" i="4"/>
  <c r="B205" i="4"/>
  <c r="B305" i="4"/>
  <c r="B272" i="4"/>
  <c r="B65" i="4"/>
  <c r="B143" i="4"/>
  <c r="B434" i="4"/>
  <c r="B279" i="4"/>
  <c r="B448" i="4"/>
  <c r="B476" i="4"/>
  <c r="B154" i="4"/>
  <c r="B270" i="4"/>
  <c r="B304" i="4"/>
  <c r="B331" i="4"/>
  <c r="B105" i="4"/>
  <c r="B311" i="4"/>
  <c r="B392" i="4"/>
  <c r="B356" i="4"/>
  <c r="B306" i="4"/>
  <c r="B529" i="4"/>
  <c r="B211" i="4"/>
  <c r="B244" i="4"/>
  <c r="B362" i="4"/>
  <c r="B403" i="4"/>
  <c r="B182" i="4"/>
  <c r="B439" i="4"/>
  <c r="B121" i="4"/>
  <c r="B518" i="4"/>
  <c r="B508" i="4"/>
  <c r="B433" i="4"/>
  <c r="B297" i="4"/>
  <c r="B333" i="4"/>
  <c r="B87" i="4"/>
  <c r="B493" i="4"/>
  <c r="B398" i="4"/>
  <c r="B470" i="4"/>
  <c r="B387" i="4"/>
  <c r="B90" i="4"/>
  <c r="B196" i="4"/>
  <c r="B268" i="4"/>
  <c r="B189" i="4"/>
  <c r="B198" i="4"/>
  <c r="B523" i="4"/>
  <c r="B199" i="4"/>
  <c r="B148" i="4"/>
  <c r="B530" i="4"/>
  <c r="B395" i="4"/>
  <c r="B67" i="4"/>
  <c r="B511" i="4"/>
  <c r="B486" i="4"/>
  <c r="B137" i="4"/>
  <c r="B418" i="4"/>
  <c r="B516" i="4"/>
  <c r="B431" i="4"/>
  <c r="B368" i="4"/>
  <c r="B104" i="4"/>
  <c r="B254" i="4"/>
  <c r="B180" i="4"/>
  <c r="B390" i="4"/>
  <c r="B521" i="4"/>
  <c r="B396" i="4"/>
  <c r="B323" i="4"/>
  <c r="B175" i="4"/>
  <c r="B222" i="4"/>
  <c r="B479" i="4"/>
  <c r="B376" i="4"/>
  <c r="B209" i="4"/>
  <c r="B509" i="4"/>
  <c r="B81" i="4"/>
  <c r="B293" i="4"/>
  <c r="B472" i="4"/>
  <c r="B483" i="4"/>
  <c r="B177" i="4"/>
  <c r="B437" i="4"/>
  <c r="B294" i="4"/>
  <c r="B456" i="4"/>
  <c r="B462" i="4"/>
  <c r="B397" i="4"/>
  <c r="B150" i="4"/>
  <c r="B93" i="4"/>
  <c r="B496" i="4"/>
  <c r="B165" i="4"/>
  <c r="C40" i="4"/>
  <c r="E40" i="4" s="1"/>
  <c r="B276" i="4"/>
  <c r="B519" i="4"/>
  <c r="B497" i="4"/>
  <c r="B267" i="4"/>
  <c r="B215" i="4"/>
  <c r="B406" i="4"/>
  <c r="B467" i="4"/>
  <c r="B348" i="4"/>
  <c r="B120" i="4"/>
  <c r="B140" i="4"/>
  <c r="B326" i="4"/>
  <c r="B411" i="4"/>
  <c r="B436" i="4"/>
  <c r="B301" i="4"/>
  <c r="B236" i="4"/>
  <c r="B423" i="4"/>
  <c r="B409" i="4"/>
  <c r="B157" i="4"/>
  <c r="B408" i="4"/>
  <c r="B500" i="4"/>
  <c r="B284" i="4"/>
  <c r="B317" i="4"/>
  <c r="B269" i="4"/>
  <c r="B460" i="4"/>
  <c r="B382" i="4"/>
  <c r="B300" i="4"/>
  <c r="B172" i="4"/>
  <c r="B119" i="4"/>
  <c r="B357" i="4"/>
  <c r="B240" i="4"/>
  <c r="B371" i="4"/>
  <c r="B231" i="4"/>
  <c r="B367" i="4"/>
  <c r="B489" i="4"/>
  <c r="B251" i="4"/>
  <c r="B461" i="4"/>
  <c r="B309" i="4"/>
  <c r="B286" i="4"/>
  <c r="B136" i="4"/>
  <c r="B391" i="4"/>
  <c r="B520" i="4"/>
  <c r="B98" i="4"/>
  <c r="B149" i="4"/>
  <c r="B162" i="4"/>
  <c r="B318" i="4"/>
  <c r="B525" i="4"/>
  <c r="B285" i="4"/>
  <c r="B68" i="4"/>
  <c r="B440" i="4"/>
  <c r="B507" i="4"/>
  <c r="B160" i="4"/>
  <c r="B114" i="4"/>
  <c r="B95" i="4"/>
  <c r="B361" i="4"/>
  <c r="B280" i="4"/>
  <c r="B289" i="4"/>
  <c r="B70" i="4"/>
  <c r="B100" i="4"/>
  <c r="B370" i="4"/>
  <c r="B360" i="4"/>
  <c r="B138" i="4"/>
  <c r="B235" i="4"/>
  <c r="B432" i="4"/>
  <c r="B487" i="4"/>
  <c r="B369" i="4"/>
  <c r="B394" i="4"/>
  <c r="B501" i="4"/>
  <c r="B127" i="4"/>
  <c r="B528" i="4"/>
  <c r="B92" i="4"/>
  <c r="B339" i="4"/>
  <c r="B281" i="4"/>
  <c r="B290" i="4"/>
  <c r="B103" i="4"/>
  <c r="B325" i="4"/>
  <c r="B259" i="4"/>
  <c r="B76" i="4"/>
  <c r="B250" i="4"/>
  <c r="B393" i="4"/>
  <c r="B232" i="4"/>
  <c r="B533" i="4"/>
  <c r="B488" i="4"/>
  <c r="B144" i="4"/>
  <c r="B468" i="4"/>
  <c r="B110" i="4"/>
  <c r="B146" i="4"/>
  <c r="B188" i="4"/>
  <c r="B164" i="4"/>
  <c r="B522" i="4"/>
  <c r="B166" i="4"/>
  <c r="B490" i="4"/>
  <c r="B229" i="4"/>
  <c r="B503" i="4"/>
  <c r="B319" i="4"/>
  <c r="B438" i="4"/>
  <c r="B132" i="4"/>
  <c r="B283" i="4"/>
  <c r="B365" i="4"/>
  <c r="B241" i="4"/>
  <c r="B485" i="4"/>
  <c r="B274" i="4"/>
  <c r="B258" i="4"/>
  <c r="B169" i="4"/>
  <c r="B226" i="4"/>
  <c r="B80" i="4"/>
  <c r="B115" i="4"/>
  <c r="B426" i="4"/>
  <c r="B173" i="4"/>
  <c r="B379" i="4"/>
  <c r="B499" i="4"/>
  <c r="B495" i="4"/>
  <c r="B352" i="4"/>
  <c r="B354" i="4"/>
  <c r="B158" i="4"/>
  <c r="B443" i="4"/>
  <c r="B246" i="4"/>
  <c r="B322" i="4"/>
  <c r="B208" i="4"/>
  <c r="B342" i="4"/>
  <c r="B190" i="4"/>
  <c r="B266" i="4"/>
  <c r="B112" i="4"/>
  <c r="B77" i="4"/>
  <c r="B233" i="4"/>
  <c r="B428" i="4"/>
  <c r="B452" i="4"/>
  <c r="B161" i="4"/>
  <c r="B123" i="4"/>
  <c r="B475" i="4"/>
  <c r="B343" i="4"/>
  <c r="B513" i="4"/>
  <c r="B421" i="4"/>
  <c r="B152" i="4"/>
  <c r="B174" i="4"/>
  <c r="B195" i="4"/>
  <c r="B216" i="4"/>
  <c r="B84" i="4"/>
  <c r="B212" i="4"/>
  <c r="B271" i="4"/>
  <c r="B107" i="4"/>
  <c r="B532" i="4"/>
  <c r="B430" i="4"/>
  <c r="B256" i="4"/>
  <c r="B168" i="4"/>
  <c r="B414" i="4"/>
  <c r="B526" i="4"/>
  <c r="B228" i="4"/>
  <c r="B265" i="4"/>
  <c r="B351" i="4"/>
  <c r="B109" i="4"/>
  <c r="B83" i="4"/>
  <c r="B427" i="4"/>
  <c r="B99" i="4"/>
  <c r="B316" i="4"/>
  <c r="B242" i="4"/>
  <c r="B386" i="4"/>
  <c r="B106" i="4"/>
  <c r="B350" i="4"/>
  <c r="B429" i="4"/>
  <c r="B249" i="4"/>
  <c r="B502" i="4"/>
  <c r="B412" i="4"/>
  <c r="B181" i="4"/>
  <c r="B295" i="4"/>
  <c r="B63" i="4"/>
  <c r="B302" i="4"/>
  <c r="B425" i="4"/>
  <c r="B126" i="4"/>
  <c r="B186" i="4"/>
  <c r="B278" i="4"/>
  <c r="B142" i="4"/>
  <c r="B260" i="4"/>
  <c r="B203" i="4"/>
  <c r="B510" i="4"/>
  <c r="B204" i="4"/>
  <c r="B359" i="4"/>
  <c r="B335" i="4"/>
  <c r="E219" i="4"/>
  <c r="C41" i="4" a="1"/>
  <c r="D40" i="4" l="1"/>
  <c r="C41" i="4"/>
  <c r="D219" i="4"/>
  <c r="C42" i="4" a="1"/>
  <c r="C42" i="4" l="1"/>
  <c r="E42" i="4" s="1"/>
  <c r="D41" i="4"/>
  <c r="F41" i="4" s="1"/>
  <c r="H41" i="4" s="1"/>
  <c r="E41" i="4"/>
  <c r="G41" i="4" s="1"/>
  <c r="I41" i="4" s="1"/>
  <c r="E143" i="4"/>
  <c r="C43" i="4" a="1"/>
  <c r="G40" i="4" l="1"/>
  <c r="I40" i="4" s="1"/>
  <c r="F40" i="4"/>
  <c r="H40" i="4" s="1"/>
  <c r="G42" i="4"/>
  <c r="I42" i="4" s="1"/>
  <c r="D42" i="4"/>
  <c r="F42" i="4" s="1"/>
  <c r="H42" i="4" s="1"/>
  <c r="C43" i="4"/>
  <c r="D143" i="4"/>
  <c r="E234" i="4"/>
  <c r="C44" i="4" a="1"/>
  <c r="C44" i="4" l="1"/>
  <c r="E44" i="4" s="1"/>
  <c r="D43" i="4"/>
  <c r="F43" i="4" s="1"/>
  <c r="H43" i="4" s="1"/>
  <c r="E43" i="4"/>
  <c r="G43" i="4" s="1"/>
  <c r="I43" i="4" s="1"/>
  <c r="D234" i="4"/>
  <c r="E429" i="4"/>
  <c r="C45" i="4" a="1"/>
  <c r="G44" i="4" l="1"/>
  <c r="I44" i="4" s="1"/>
  <c r="D44" i="4"/>
  <c r="F44" i="4" s="1"/>
  <c r="H44" i="4" s="1"/>
  <c r="C45" i="4"/>
  <c r="E45" i="4" s="1"/>
  <c r="G45" i="4" s="1"/>
  <c r="I45" i="4" s="1"/>
  <c r="D429" i="4"/>
  <c r="E518" i="4"/>
  <c r="C46" i="4" a="1"/>
  <c r="D45" i="4" l="1"/>
  <c r="F45" i="4" s="1"/>
  <c r="H45" i="4" s="1"/>
  <c r="C46" i="4"/>
  <c r="D46" i="4" s="1"/>
  <c r="D518" i="4"/>
  <c r="E275" i="4"/>
  <c r="C47" i="4" a="1"/>
  <c r="F46" i="4" l="1"/>
  <c r="H46" i="4" s="1"/>
  <c r="E46" i="4"/>
  <c r="G46" i="4" s="1"/>
  <c r="I46" i="4" s="1"/>
  <c r="C47" i="4"/>
  <c r="E47" i="4" s="1"/>
  <c r="D275" i="4"/>
  <c r="E236" i="4"/>
  <c r="C48" i="4" a="1"/>
  <c r="G47" i="4" l="1"/>
  <c r="I47" i="4" s="1"/>
  <c r="D47" i="4"/>
  <c r="F47" i="4" s="1"/>
  <c r="H47" i="4" s="1"/>
  <c r="C48" i="4"/>
  <c r="E48" i="4" s="1"/>
  <c r="G48" i="4" s="1"/>
  <c r="I48" i="4" s="1"/>
  <c r="D236" i="4"/>
  <c r="E224" i="4"/>
  <c r="C49" i="4" a="1"/>
  <c r="D48" i="4" l="1"/>
  <c r="F48" i="4" s="1"/>
  <c r="H48" i="4" s="1"/>
  <c r="C49" i="4"/>
  <c r="D49" i="4" s="1"/>
  <c r="D224" i="4"/>
  <c r="E109" i="4"/>
  <c r="C50" i="4" a="1"/>
  <c r="F49" i="4" l="1"/>
  <c r="H49" i="4" s="1"/>
  <c r="E49" i="4"/>
  <c r="G49" i="4" s="1"/>
  <c r="I49" i="4" s="1"/>
  <c r="C50" i="4"/>
  <c r="D109" i="4"/>
  <c r="E526" i="4"/>
  <c r="C51" i="4" a="1"/>
  <c r="C51" i="4" l="1"/>
  <c r="D526" i="4"/>
  <c r="E204" i="4"/>
  <c r="C52" i="4" a="1"/>
  <c r="C52" i="4" l="1"/>
  <c r="D204" i="4"/>
  <c r="E171" i="4"/>
  <c r="C53" i="4" a="1"/>
  <c r="C53" i="4" l="1"/>
  <c r="D171" i="4"/>
  <c r="E99" i="4"/>
  <c r="C54" i="4" a="1"/>
  <c r="C54" i="4" l="1"/>
  <c r="D99" i="4"/>
  <c r="E355" i="4"/>
  <c r="C55" i="4" a="1"/>
  <c r="C55" i="4" l="1"/>
  <c r="D355" i="4"/>
  <c r="E72" i="4"/>
  <c r="C56" i="4" a="1"/>
  <c r="C56" i="4" l="1"/>
  <c r="D72" i="4"/>
  <c r="E376" i="4"/>
  <c r="C57" i="4" a="1"/>
  <c r="C57" i="4" l="1"/>
  <c r="D376" i="4"/>
  <c r="E115" i="4"/>
  <c r="C58" i="4" a="1"/>
  <c r="C58" i="4" l="1"/>
  <c r="D115" i="4"/>
  <c r="E389" i="4"/>
  <c r="C59" i="4" a="1"/>
  <c r="C59" i="4" l="1"/>
  <c r="D389" i="4"/>
  <c r="E328" i="4"/>
  <c r="C60" i="4" a="1"/>
  <c r="C60" i="4" l="1"/>
  <c r="D328" i="4"/>
  <c r="E142" i="4"/>
  <c r="D142" i="4" l="1"/>
  <c r="E422" i="4"/>
  <c r="D422" i="4" l="1"/>
  <c r="E478" i="4"/>
  <c r="D478" i="4" l="1"/>
  <c r="E484" i="4"/>
  <c r="D484" i="4" l="1"/>
  <c r="E66" i="4"/>
  <c r="D66" i="4" l="1"/>
  <c r="E418" i="4"/>
  <c r="D418" i="4" l="1"/>
  <c r="E443" i="4"/>
  <c r="D443" i="4" l="1"/>
  <c r="E148" i="4"/>
  <c r="D148" i="4" l="1"/>
  <c r="E287" i="4"/>
  <c r="D287" i="4" l="1"/>
  <c r="E209" i="4"/>
  <c r="D209" i="4" l="1"/>
  <c r="E426" i="4"/>
  <c r="D426" i="4" l="1"/>
  <c r="E294" i="4"/>
  <c r="D294" i="4" l="1"/>
  <c r="E244" i="4"/>
  <c r="D244" i="4" l="1"/>
  <c r="E274" i="4"/>
  <c r="D274" i="4" l="1"/>
  <c r="E228" i="4"/>
  <c r="D228" i="4" l="1"/>
  <c r="E273" i="4"/>
  <c r="D273" i="4" l="1"/>
  <c r="E108" i="4"/>
  <c r="D108" i="4" l="1"/>
  <c r="E371" i="4"/>
  <c r="D371" i="4" l="1"/>
  <c r="E515" i="4"/>
  <c r="D515" i="4" l="1"/>
  <c r="E162" i="4"/>
  <c r="D162" i="4" l="1"/>
  <c r="E83" i="4"/>
  <c r="D83" i="4" l="1"/>
  <c r="E368" i="4"/>
  <c r="D368" i="4" l="1"/>
  <c r="E196" i="4"/>
  <c r="D196" i="4" l="1"/>
  <c r="E250" i="4"/>
  <c r="D250" i="4" l="1"/>
  <c r="E282" i="4"/>
  <c r="D282" i="4" l="1"/>
  <c r="E347" i="4"/>
  <c r="D347" i="4" l="1"/>
  <c r="E191" i="4"/>
  <c r="D191" i="4" l="1"/>
  <c r="E266" i="4"/>
  <c r="D266" i="4" l="1"/>
  <c r="E151" i="4"/>
  <c r="D151" i="4" l="1"/>
  <c r="E125" i="4"/>
  <c r="D125" i="4" l="1"/>
  <c r="E423" i="4"/>
  <c r="D423" i="4" l="1"/>
  <c r="E59" i="4"/>
  <c r="D59" i="4" l="1"/>
  <c r="E190" i="4"/>
  <c r="D190" i="4" l="1"/>
  <c r="E310" i="4"/>
  <c r="D310" i="4" l="1"/>
  <c r="E417" i="4"/>
  <c r="D417" i="4" l="1"/>
  <c r="E393" i="4"/>
  <c r="D393" i="4" l="1"/>
  <c r="E317" i="4"/>
  <c r="D317" i="4" l="1"/>
  <c r="E322" i="4"/>
  <c r="D322" i="4" l="1"/>
  <c r="E179" i="4"/>
  <c r="D179" i="4" l="1"/>
  <c r="E84" i="4"/>
  <c r="D84" i="4" l="1"/>
  <c r="E197" i="4"/>
  <c r="D197" i="4" l="1"/>
  <c r="E301" i="4"/>
  <c r="D301" i="4" l="1"/>
  <c r="E298" i="4"/>
  <c r="D298" i="4" l="1"/>
  <c r="E258" i="4"/>
  <c r="D258" i="4" l="1"/>
  <c r="E464" i="4"/>
  <c r="D464" i="4" l="1"/>
  <c r="E187" i="4"/>
  <c r="D187" i="4" l="1"/>
  <c r="E207" i="4"/>
  <c r="D207" i="4" l="1"/>
  <c r="E193" i="4"/>
  <c r="D193" i="4" l="1"/>
  <c r="E334" i="4"/>
  <c r="D334" i="4" l="1"/>
  <c r="E340" i="4"/>
  <c r="D340" i="4" l="1"/>
  <c r="E80" i="4"/>
  <c r="D80" i="4" l="1"/>
  <c r="E434" i="4"/>
  <c r="D434" i="4" l="1"/>
  <c r="E227" i="4"/>
  <c r="D227" i="4" l="1"/>
  <c r="E352" i="4"/>
  <c r="D352" i="4" l="1"/>
  <c r="E447" i="4"/>
  <c r="D447" i="4" l="1"/>
  <c r="E177" i="4"/>
  <c r="D177" i="4" l="1"/>
  <c r="E237" i="4"/>
  <c r="D237" i="4" l="1"/>
  <c r="E446" i="4"/>
  <c r="D446" i="4" l="1"/>
  <c r="E123" i="4"/>
  <c r="D123" i="4" l="1"/>
  <c r="E240" i="4"/>
  <c r="D240" i="4" l="1"/>
  <c r="E226" i="4"/>
  <c r="D226" i="4" l="1"/>
  <c r="E354" i="4"/>
  <c r="D354" i="4" l="1"/>
  <c r="E146" i="4"/>
  <c r="D146" i="4" l="1"/>
  <c r="E70" i="4"/>
  <c r="D70" i="4" l="1"/>
  <c r="E119" i="4"/>
  <c r="D119" i="4" l="1"/>
  <c r="E291" i="4"/>
  <c r="D291" i="4" l="1"/>
  <c r="E163" i="4"/>
  <c r="D163" i="4" l="1"/>
  <c r="E111" i="4"/>
  <c r="D111" i="4" l="1"/>
  <c r="E302" i="4"/>
  <c r="D302" i="4" l="1"/>
  <c r="E183" i="4"/>
  <c r="D183" i="4" l="1"/>
  <c r="E270" i="4"/>
  <c r="D270" i="4" l="1"/>
  <c r="E338" i="4"/>
  <c r="D338" i="4" l="1"/>
  <c r="E488" i="4"/>
  <c r="D488" i="4" l="1"/>
  <c r="E356" i="4"/>
  <c r="D356" i="4" l="1"/>
  <c r="E450" i="4"/>
  <c r="D450" i="4" l="1"/>
  <c r="E394" i="4"/>
  <c r="D394" i="4" l="1"/>
  <c r="E96" i="4"/>
  <c r="D96" i="4" l="1"/>
  <c r="E521" i="4"/>
  <c r="D521" i="4" l="1"/>
  <c r="E241" i="4"/>
  <c r="D241" i="4" l="1"/>
  <c r="E335" i="4"/>
  <c r="D335" i="4" l="1"/>
  <c r="E416" i="4"/>
  <c r="D416" i="4" l="1"/>
  <c r="E367" i="4"/>
  <c r="D367" i="4" l="1"/>
  <c r="E164" i="4"/>
  <c r="D164" i="4" l="1"/>
  <c r="E408" i="4"/>
  <c r="D408" i="4" l="1"/>
  <c r="E156" i="4"/>
  <c r="D156" i="4" l="1"/>
  <c r="E324" i="4"/>
  <c r="D324" i="4" l="1"/>
  <c r="E65" i="4"/>
  <c r="D65" i="4" l="1"/>
  <c r="E341" i="4"/>
  <c r="D341" i="4" l="1"/>
  <c r="E410" i="4"/>
  <c r="D410" i="4" l="1"/>
  <c r="E178" i="4"/>
  <c r="D178" i="4" l="1"/>
  <c r="E97" i="4"/>
  <c r="D97" i="4" l="1"/>
  <c r="E316" i="4"/>
  <c r="D316" i="4" l="1"/>
  <c r="E482" i="4"/>
  <c r="D482" i="4" l="1"/>
  <c r="E93" i="4"/>
  <c r="D93" i="4" l="1"/>
  <c r="E103" i="4"/>
  <c r="D103" i="4" l="1"/>
  <c r="E474" i="4"/>
  <c r="D474" i="4" l="1"/>
  <c r="E259" i="4"/>
  <c r="D259" i="4" l="1"/>
  <c r="E175" i="4"/>
  <c r="D175" i="4" l="1"/>
  <c r="E246" i="4"/>
  <c r="D246" i="4" l="1"/>
  <c r="E110" i="4"/>
  <c r="D110" i="4" l="1"/>
  <c r="E292" i="4"/>
  <c r="D292" i="4" l="1"/>
  <c r="E188" i="4"/>
  <c r="D188" i="4" l="1"/>
  <c r="E350" i="4"/>
  <c r="D350" i="4" l="1"/>
  <c r="E439" i="4"/>
  <c r="D439" i="4" l="1"/>
  <c r="E332" i="4"/>
  <c r="D332" i="4" l="1"/>
  <c r="E460" i="4"/>
  <c r="D460" i="4" l="1"/>
  <c r="E490" i="4"/>
  <c r="D490" i="4" l="1"/>
  <c r="E533" i="4"/>
  <c r="D533" i="4" l="1"/>
  <c r="E430" i="4"/>
  <c r="D430" i="4" l="1"/>
  <c r="E264" i="4"/>
  <c r="D264" i="4" l="1"/>
  <c r="E379" i="4"/>
  <c r="D379" i="4" l="1"/>
  <c r="E309" i="4"/>
  <c r="D309" i="4" l="1"/>
  <c r="E451" i="4"/>
  <c r="D451" i="4" l="1"/>
  <c r="E77" i="4"/>
  <c r="D77" i="4" l="1"/>
  <c r="E232" i="4"/>
  <c r="D232" i="4" l="1"/>
  <c r="E252" i="4"/>
  <c r="D252" i="4" l="1"/>
  <c r="E493" i="4"/>
  <c r="D493" i="4" l="1"/>
  <c r="E161" i="4"/>
  <c r="D161" i="4" l="1"/>
  <c r="E230" i="4"/>
  <c r="D230" i="4" l="1"/>
  <c r="E94" i="4"/>
  <c r="D94" i="4" l="1"/>
  <c r="E154" i="4"/>
  <c r="D154" i="4" l="1"/>
  <c r="E203" i="4"/>
  <c r="D203" i="4" l="1"/>
  <c r="E290" i="4"/>
  <c r="D290" i="4" l="1"/>
  <c r="E440" i="4"/>
  <c r="D440" i="4" l="1"/>
  <c r="E522" i="4"/>
  <c r="D522" i="4" l="1"/>
  <c r="E419" i="4"/>
  <c r="D419" i="4" l="1"/>
  <c r="E56" i="4"/>
  <c r="D56" i="4" l="1"/>
  <c r="E329" i="4"/>
  <c r="D329" i="4" l="1"/>
  <c r="E364" i="4"/>
  <c r="D364" i="4" l="1"/>
  <c r="E385" i="4"/>
  <c r="D385" i="4" l="1"/>
  <c r="E397" i="4"/>
  <c r="D397" i="4" l="1"/>
  <c r="E465" i="4"/>
  <c r="D465" i="4" l="1"/>
  <c r="E102" i="4"/>
  <c r="D102" i="4" l="1"/>
  <c r="E449" i="4"/>
  <c r="D449" i="4" l="1"/>
  <c r="E398" i="4"/>
  <c r="D398" i="4" l="1"/>
  <c r="E214" i="4"/>
  <c r="D214" i="4" l="1"/>
  <c r="E458" i="4"/>
  <c r="D458" i="4" l="1"/>
  <c r="E510" i="4"/>
  <c r="D510" i="4" l="1"/>
  <c r="E308" i="4"/>
  <c r="D308" i="4" l="1"/>
  <c r="E472" i="4"/>
  <c r="D472" i="4" l="1"/>
  <c r="E359" i="4"/>
  <c r="D359" i="4" l="1"/>
  <c r="E220" i="4"/>
  <c r="D220" i="4" l="1"/>
  <c r="E307" i="4"/>
  <c r="D307" i="4" l="1"/>
  <c r="E174" i="4"/>
  <c r="D174" i="4" l="1"/>
  <c r="E201" i="4"/>
  <c r="D201" i="4" l="1"/>
  <c r="E512" i="4"/>
  <c r="D512" i="4" l="1"/>
  <c r="E106" i="4"/>
  <c r="D106" i="4" l="1"/>
  <c r="E513" i="4"/>
  <c r="D513" i="4" l="1"/>
  <c r="E420" i="4"/>
  <c r="D420" i="4" l="1"/>
  <c r="E248" i="4"/>
  <c r="D248" i="4" l="1"/>
  <c r="E296" i="4"/>
  <c r="D296" i="4" l="1"/>
  <c r="E399" i="4"/>
  <c r="D399" i="4" l="1"/>
  <c r="E254" i="4"/>
  <c r="D254" i="4" l="1"/>
  <c r="E286" i="4"/>
  <c r="D286" i="4" l="1"/>
  <c r="E113" i="4"/>
  <c r="D113" i="4" l="1"/>
  <c r="E78" i="4"/>
  <c r="D78" i="4" l="1"/>
  <c r="E373" i="4"/>
  <c r="D373" i="4" l="1"/>
  <c r="E170" i="4"/>
  <c r="D170" i="4" l="1"/>
  <c r="E221" i="4"/>
  <c r="D221" i="4" l="1"/>
  <c r="E511" i="4"/>
  <c r="D511" i="4" l="1"/>
  <c r="E497" i="4"/>
  <c r="D497" i="4" l="1"/>
  <c r="E166" i="4"/>
  <c r="D166" i="4" l="1"/>
  <c r="E496" i="4"/>
  <c r="D496" i="4" l="1"/>
  <c r="E261" i="4"/>
  <c r="D261" i="4" l="1"/>
  <c r="E406" i="4"/>
  <c r="D406" i="4" l="1"/>
  <c r="E92" i="4"/>
  <c r="D92" i="4" l="1"/>
  <c r="E321" i="4"/>
  <c r="D321" i="4" l="1"/>
  <c r="E222" i="4"/>
  <c r="D222" i="4" l="1"/>
  <c r="E167" i="4"/>
  <c r="D167" i="4" l="1"/>
  <c r="E206" i="4"/>
  <c r="D206" i="4" l="1"/>
  <c r="E144" i="4"/>
  <c r="D144" i="4" l="1"/>
  <c r="E289" i="4"/>
  <c r="D289" i="4" l="1"/>
  <c r="E194" i="4"/>
  <c r="D194" i="4" l="1"/>
  <c r="E185" i="4"/>
  <c r="D185" i="4" l="1"/>
  <c r="E136" i="4"/>
  <c r="D136" i="4" l="1"/>
  <c r="E50" i="4"/>
  <c r="G50" i="4" s="1"/>
  <c r="I50" i="4" s="1"/>
  <c r="D50" i="4" l="1"/>
  <c r="F50" i="4" s="1"/>
  <c r="H50" i="4" s="1"/>
  <c r="E452" i="4"/>
  <c r="D452" i="4" l="1"/>
  <c r="E374" i="4"/>
  <c r="D374" i="4" l="1"/>
  <c r="E442" i="4"/>
  <c r="D442" i="4" l="1"/>
  <c r="E285" i="4"/>
  <c r="D285" i="4" l="1"/>
  <c r="E305" i="4"/>
  <c r="D305" i="4" l="1"/>
  <c r="E378" i="4"/>
  <c r="D378" i="4" l="1"/>
  <c r="E251" i="4"/>
  <c r="D251" i="4" l="1"/>
  <c r="E98" i="4"/>
  <c r="D98" i="4" l="1"/>
  <c r="E492" i="4"/>
  <c r="D492" i="4" l="1"/>
  <c r="E295" i="4"/>
  <c r="D295" i="4" l="1"/>
  <c r="E297" i="4"/>
  <c r="D297" i="4" l="1"/>
  <c r="E189" i="4"/>
  <c r="D189" i="4" l="1"/>
  <c r="E448" i="4"/>
  <c r="D448" i="4" l="1"/>
  <c r="E233" i="4"/>
  <c r="D233" i="4" l="1"/>
  <c r="E499" i="4"/>
  <c r="D499" i="4" l="1"/>
  <c r="E349" i="4"/>
  <c r="D349" i="4" l="1"/>
  <c r="E263" i="4"/>
  <c r="D263" i="4" l="1"/>
  <c r="E381" i="4"/>
  <c r="D381" i="4" l="1"/>
  <c r="E432" i="4"/>
  <c r="D432" i="4" l="1"/>
  <c r="E239" i="4"/>
  <c r="D239" i="4" l="1"/>
  <c r="E466" i="4"/>
  <c r="D466" i="4" l="1"/>
  <c r="E135" i="4"/>
  <c r="D135" i="4" l="1"/>
  <c r="E514" i="4"/>
  <c r="D514" i="4" l="1"/>
  <c r="E520" i="4"/>
  <c r="D520" i="4" l="1"/>
  <c r="E133" i="4"/>
  <c r="D133" i="4" l="1"/>
  <c r="E57" i="4"/>
  <c r="G57" i="4" s="1"/>
  <c r="I57" i="4" s="1"/>
  <c r="D57" i="4" l="1"/>
  <c r="F57" i="4" s="1"/>
  <c r="H57" i="4" s="1"/>
  <c r="E262" i="4"/>
  <c r="D262" i="4" l="1"/>
  <c r="E82" i="4"/>
  <c r="D82" i="4" l="1"/>
  <c r="E79" i="4"/>
  <c r="D79" i="4" l="1"/>
  <c r="E387" i="4"/>
  <c r="D387" i="4" l="1"/>
  <c r="E494" i="4"/>
  <c r="D494" i="4" l="1"/>
  <c r="E405" i="4"/>
  <c r="D405" i="4" l="1"/>
  <c r="E173" i="4"/>
  <c r="D173" i="4" l="1"/>
  <c r="E346" i="4"/>
  <c r="D346" i="4" l="1"/>
  <c r="E323" i="4"/>
  <c r="D323" i="4" l="1"/>
  <c r="E480" i="4"/>
  <c r="D480" i="4" l="1"/>
  <c r="E112" i="4"/>
  <c r="D112" i="4" l="1"/>
  <c r="E475" i="4"/>
  <c r="D475" i="4" l="1"/>
  <c r="E150" i="4"/>
  <c r="D150" i="4" l="1"/>
  <c r="E74" i="4"/>
  <c r="D74" i="4" l="1"/>
  <c r="E247" i="4"/>
  <c r="D247" i="4" l="1"/>
  <c r="E137" i="4"/>
  <c r="D137" i="4" l="1"/>
  <c r="E454" i="4"/>
  <c r="D454" i="4" l="1"/>
  <c r="E403" i="4"/>
  <c r="D403" i="4" l="1"/>
  <c r="E427" i="4"/>
  <c r="D427" i="4" l="1"/>
  <c r="E412" i="4"/>
  <c r="D412" i="4" l="1"/>
  <c r="E132" i="4"/>
  <c r="D132" i="4" l="1"/>
  <c r="E281" i="4"/>
  <c r="D281" i="4" l="1"/>
  <c r="E507" i="4"/>
  <c r="D507" i="4" l="1"/>
  <c r="E351" i="4"/>
  <c r="D351" i="4" l="1"/>
  <c r="E205" i="4"/>
  <c r="D205" i="4" l="1"/>
  <c r="E421" i="4"/>
  <c r="D421" i="4" l="1"/>
  <c r="E255" i="4"/>
  <c r="D255" i="4" l="1"/>
  <c r="E195" i="4"/>
  <c r="D195" i="4" l="1"/>
  <c r="E104" i="4"/>
  <c r="D104" i="4" l="1"/>
  <c r="E469" i="4"/>
  <c r="D469" i="4" l="1"/>
  <c r="E462" i="4"/>
  <c r="D462" i="4" l="1"/>
  <c r="E180" i="4"/>
  <c r="D180" i="4" l="1"/>
  <c r="E114" i="4"/>
  <c r="D114" i="4" l="1"/>
  <c r="E69" i="4"/>
  <c r="D69" i="4" l="1"/>
  <c r="E304" i="4"/>
  <c r="D304" i="4" l="1"/>
  <c r="E284" i="4"/>
  <c r="D284" i="4" l="1"/>
  <c r="E212" i="4"/>
  <c r="D212" i="4" l="1"/>
  <c r="E320" i="4"/>
  <c r="D320" i="4" l="1"/>
  <c r="E54" i="4"/>
  <c r="D54" i="4" l="1"/>
  <c r="E118" i="4"/>
  <c r="D118" i="4" l="1"/>
  <c r="E414" i="4"/>
  <c r="D414" i="4" l="1"/>
  <c r="E153" i="4"/>
  <c r="D153" i="4" l="1"/>
  <c r="E229" i="4"/>
  <c r="D229" i="4" l="1"/>
  <c r="E435" i="4"/>
  <c r="D435" i="4" l="1"/>
  <c r="E528" i="4"/>
  <c r="D528" i="4" l="1"/>
  <c r="E127" i="4"/>
  <c r="D127" i="4" l="1"/>
  <c r="E369" i="4"/>
  <c r="D369" i="4" l="1"/>
  <c r="E486" i="4"/>
  <c r="D486" i="4" l="1"/>
  <c r="E433" i="4"/>
  <c r="D433" i="4" l="1"/>
  <c r="E503" i="4"/>
  <c r="D503" i="4" l="1"/>
  <c r="E90" i="4"/>
  <c r="D90" i="4" l="1"/>
  <c r="E370" i="4"/>
  <c r="D370" i="4" l="1"/>
  <c r="E377" i="4"/>
  <c r="D377" i="4" l="1"/>
  <c r="E415" i="4"/>
  <c r="D415" i="4" l="1"/>
  <c r="E337" i="4"/>
  <c r="D337" i="4" l="1"/>
  <c r="E238" i="4"/>
  <c r="D238" i="4" l="1"/>
  <c r="E200" i="4"/>
  <c r="D200" i="4" l="1"/>
  <c r="E319" i="4"/>
  <c r="D319" i="4" l="1"/>
  <c r="E172" i="4"/>
  <c r="D172" i="4" l="1"/>
  <c r="E468" i="4"/>
  <c r="D468" i="4" l="1"/>
  <c r="E145" i="4"/>
  <c r="D145" i="4" l="1"/>
  <c r="E424" i="4"/>
  <c r="D424" i="4" l="1"/>
  <c r="E425" i="4"/>
  <c r="D425" i="4" l="1"/>
  <c r="E186" i="4"/>
  <c r="D186" i="4" l="1"/>
  <c r="E218" i="4"/>
  <c r="D218" i="4" l="1"/>
  <c r="E293" i="4"/>
  <c r="D293" i="4" l="1"/>
  <c r="E208" i="4"/>
  <c r="D208" i="4" l="1"/>
  <c r="E88" i="4"/>
  <c r="D88" i="4" l="1"/>
  <c r="E530" i="4"/>
  <c r="D530" i="4" l="1"/>
  <c r="E438" i="4"/>
  <c r="D438" i="4" l="1"/>
  <c r="E401" i="4"/>
  <c r="D401" i="4" l="1"/>
  <c r="E211" i="4"/>
  <c r="D211" i="4" l="1"/>
  <c r="E428" i="4"/>
  <c r="D428" i="4" l="1"/>
  <c r="E470" i="4"/>
  <c r="D470" i="4" l="1"/>
  <c r="E344" i="4"/>
  <c r="D344" i="4" l="1"/>
  <c r="E216" i="4"/>
  <c r="D216" i="4" l="1"/>
  <c r="E396" i="4"/>
  <c r="D396" i="4" l="1"/>
  <c r="E463" i="4"/>
  <c r="D463" i="4" l="1"/>
  <c r="E353" i="4"/>
  <c r="D353" i="4" l="1"/>
  <c r="E453" i="4"/>
  <c r="D453" i="4" l="1"/>
  <c r="E129" i="4"/>
  <c r="D129" i="4" l="1"/>
  <c r="E531" i="4"/>
  <c r="D531" i="4" l="1"/>
  <c r="E89" i="4"/>
  <c r="D89" i="4" l="1"/>
  <c r="E158" i="4"/>
  <c r="D158" i="4" l="1"/>
  <c r="E235" i="4"/>
  <c r="D235" i="4" l="1"/>
  <c r="E67" i="4"/>
  <c r="D67" i="4" l="1"/>
  <c r="E312" i="4"/>
  <c r="D312" i="4" l="1"/>
  <c r="E362" i="4"/>
  <c r="D362" i="4" l="1"/>
  <c r="E242" i="4"/>
  <c r="D242" i="4" l="1"/>
  <c r="E147" i="4"/>
  <c r="D147" i="4" l="1"/>
  <c r="E400" i="4"/>
  <c r="D400" i="4" l="1"/>
  <c r="E140" i="4"/>
  <c r="D140" i="4" l="1"/>
  <c r="E198" i="4"/>
  <c r="D198" i="4" l="1"/>
  <c r="E215" i="4"/>
  <c r="D215" i="4" l="1"/>
  <c r="E265" i="4"/>
  <c r="D265" i="4" l="1"/>
  <c r="E120" i="4"/>
  <c r="D120" i="4" l="1"/>
  <c r="E199" i="4"/>
  <c r="D199" i="4" l="1"/>
  <c r="E502" i="4"/>
  <c r="D502" i="4" l="1"/>
  <c r="E53" i="4"/>
  <c r="G54" i="4" l="1"/>
  <c r="I54" i="4" s="1"/>
  <c r="D53" i="4"/>
  <c r="E314" i="4"/>
  <c r="F54" i="4" l="1"/>
  <c r="H54" i="4" s="1"/>
  <c r="D314" i="4"/>
  <c r="E477" i="4"/>
  <c r="D477" i="4" l="1"/>
  <c r="E517" i="4"/>
  <c r="D517" i="4" l="1"/>
  <c r="E105" i="4"/>
  <c r="D105" i="4" l="1"/>
  <c r="E117" i="4"/>
  <c r="D117" i="4" l="1"/>
  <c r="E73" i="4"/>
  <c r="D73" i="4" l="1"/>
  <c r="E404" i="4"/>
  <c r="D404" i="4" l="1"/>
  <c r="E348" i="4"/>
  <c r="D348" i="4" l="1"/>
  <c r="E358" i="4"/>
  <c r="D358" i="4" l="1"/>
  <c r="E217" i="4"/>
  <c r="D217" i="4" l="1"/>
  <c r="E62" i="4"/>
  <c r="D62" i="4" l="1"/>
  <c r="E249" i="4"/>
  <c r="D249" i="4" l="1"/>
  <c r="E491" i="4"/>
  <c r="D491" i="4" l="1"/>
  <c r="E441" i="4"/>
  <c r="D441" i="4" l="1"/>
  <c r="E455" i="4"/>
  <c r="D455" i="4" l="1"/>
  <c r="E60" i="4"/>
  <c r="G60" i="4" s="1"/>
  <c r="I60" i="4" s="1"/>
  <c r="D60" i="4" l="1"/>
  <c r="F60" i="4" s="1"/>
  <c r="H60" i="4" s="1"/>
  <c r="E299" i="4"/>
  <c r="D299" i="4" l="1"/>
  <c r="E157" i="4"/>
  <c r="D157" i="4" l="1"/>
  <c r="E81" i="4"/>
  <c r="D81" i="4" l="1"/>
  <c r="E487" i="4"/>
  <c r="D487" i="4" l="1"/>
  <c r="E116" i="4"/>
  <c r="D116" i="4" l="1"/>
  <c r="E365" i="4"/>
  <c r="D365" i="4" l="1"/>
  <c r="E131" i="4"/>
  <c r="D131" i="4" l="1"/>
  <c r="E91" i="4"/>
  <c r="D91" i="4" l="1"/>
  <c r="E437" i="4"/>
  <c r="D437" i="4" l="1"/>
  <c r="E51" i="4"/>
  <c r="G51" i="4" s="1"/>
  <c r="I51" i="4" s="1"/>
  <c r="D51" i="4" l="1"/>
  <c r="F51" i="4" s="1"/>
  <c r="H51" i="4" s="1"/>
  <c r="E253" i="4"/>
  <c r="D253" i="4" l="1"/>
  <c r="E534" i="4"/>
  <c r="D534" i="4" l="1"/>
  <c r="E325" i="4"/>
  <c r="D325" i="4" l="1"/>
  <c r="E101" i="4"/>
  <c r="D101" i="4" l="1"/>
  <c r="E202" i="4"/>
  <c r="D202" i="4" l="1"/>
  <c r="E76" i="4"/>
  <c r="D76" i="4" l="1"/>
  <c r="E336" i="4"/>
  <c r="D336" i="4" l="1"/>
  <c r="E402" i="4"/>
  <c r="D402" i="4" l="1"/>
  <c r="E333" i="4"/>
  <c r="D333" i="4" l="1"/>
  <c r="E505" i="4"/>
  <c r="D505" i="4" l="1"/>
  <c r="E413" i="4"/>
  <c r="D413" i="4" l="1"/>
  <c r="E383" i="4"/>
  <c r="D383" i="4" l="1"/>
  <c r="E184" i="4"/>
  <c r="D184" i="4" l="1"/>
  <c r="E459" i="4"/>
  <c r="D459" i="4" l="1"/>
  <c r="E436" i="4"/>
  <c r="D436" i="4" l="1"/>
  <c r="E363" i="4"/>
  <c r="D363" i="4" l="1"/>
  <c r="E361" i="4"/>
  <c r="D361" i="4" l="1"/>
  <c r="E407" i="4"/>
  <c r="D407" i="4" l="1"/>
  <c r="E445" i="4"/>
  <c r="D445" i="4" l="1"/>
  <c r="E303" i="4"/>
  <c r="D303" i="4" l="1"/>
  <c r="E279" i="4"/>
  <c r="D279" i="4" l="1"/>
  <c r="E481" i="4"/>
  <c r="D481" i="4" l="1"/>
  <c r="E231" i="4"/>
  <c r="D231" i="4" l="1"/>
  <c r="E315" i="4"/>
  <c r="D315" i="4" l="1"/>
  <c r="E149" i="4"/>
  <c r="D149" i="4" l="1"/>
  <c r="E498" i="4"/>
  <c r="D498" i="4" l="1"/>
  <c r="E210" i="4"/>
  <c r="D210" i="4" l="1"/>
  <c r="E500" i="4"/>
  <c r="D500" i="4" l="1"/>
  <c r="E52" i="4"/>
  <c r="G52" i="4" l="1"/>
  <c r="I52" i="4" s="1"/>
  <c r="G53" i="4"/>
  <c r="I53" i="4" s="1"/>
  <c r="D52" i="4"/>
  <c r="E160" i="4"/>
  <c r="F52" i="4" l="1"/>
  <c r="H52" i="4" s="1"/>
  <c r="F53" i="4"/>
  <c r="H53" i="4" s="1"/>
  <c r="D160" i="4"/>
  <c r="E85" i="4"/>
  <c r="D85" i="4" l="1"/>
  <c r="E467" i="4"/>
  <c r="D467" i="4" l="1"/>
  <c r="E181" i="4"/>
  <c r="D181" i="4" l="1"/>
  <c r="E95" i="4"/>
  <c r="D95" i="4" l="1"/>
  <c r="E225" i="4"/>
  <c r="D225" i="4" l="1"/>
  <c r="E130" i="4"/>
  <c r="D130" i="4" l="1"/>
  <c r="E461" i="4"/>
  <c r="D461" i="4" l="1"/>
  <c r="E257" i="4"/>
  <c r="D257" i="4" l="1"/>
  <c r="E386" i="4"/>
  <c r="D386" i="4" l="1"/>
  <c r="E152" i="4"/>
  <c r="D152" i="4" l="1"/>
  <c r="E272" i="4"/>
  <c r="D272" i="4" l="1"/>
  <c r="E326" i="4"/>
  <c r="D326" i="4" l="1"/>
  <c r="E529" i="4"/>
  <c r="D529" i="4" l="1"/>
  <c r="E176" i="4"/>
  <c r="D176" i="4" l="1"/>
  <c r="E392" i="4"/>
  <c r="D392" i="4" l="1"/>
  <c r="E509" i="4"/>
  <c r="D509" i="4" l="1"/>
  <c r="E126" i="4"/>
  <c r="D126" i="4" l="1"/>
  <c r="E375" i="4"/>
  <c r="D375" i="4" l="1"/>
  <c r="E100" i="4"/>
  <c r="D100" i="4" l="1"/>
  <c r="E391" i="4"/>
  <c r="D391" i="4" l="1"/>
  <c r="E138" i="4"/>
  <c r="D138" i="4" l="1"/>
  <c r="E313" i="4"/>
  <c r="D313" i="4" l="1"/>
  <c r="E411" i="4"/>
  <c r="D411" i="4" l="1"/>
  <c r="E382" i="4"/>
  <c r="D382" i="4" l="1"/>
  <c r="E71" i="4"/>
  <c r="D71" i="4" l="1"/>
  <c r="E476" i="4"/>
  <c r="D476" i="4" l="1"/>
  <c r="E527" i="4"/>
  <c r="D527" i="4" l="1"/>
  <c r="E283" i="4"/>
  <c r="D283" i="4" l="1"/>
  <c r="E58" i="4"/>
  <c r="G58" i="4" l="1"/>
  <c r="I58" i="4" s="1"/>
  <c r="G59" i="4"/>
  <c r="I59" i="4" s="1"/>
  <c r="D58" i="4"/>
  <c r="E134" i="4"/>
  <c r="F58" i="4" l="1"/>
  <c r="H58" i="4" s="1"/>
  <c r="F59" i="4"/>
  <c r="H59" i="4" s="1"/>
  <c r="D134" i="4"/>
  <c r="E327" i="4"/>
  <c r="D327" i="4" l="1"/>
  <c r="E330" i="4"/>
  <c r="D330" i="4" l="1"/>
  <c r="E276" i="4"/>
  <c r="D276" i="4" l="1"/>
  <c r="E431" i="4"/>
  <c r="D431" i="4" l="1"/>
  <c r="E519" i="4"/>
  <c r="D519" i="4" l="1"/>
  <c r="E121" i="4"/>
  <c r="D121" i="4" l="1"/>
  <c r="E223" i="4"/>
  <c r="D223" i="4" l="1"/>
  <c r="E388" i="4"/>
  <c r="D388" i="4" l="1"/>
  <c r="E532" i="4"/>
  <c r="D532" i="4" l="1"/>
  <c r="E456" i="4"/>
  <c r="D456" i="4" l="1"/>
  <c r="E165" i="4"/>
  <c r="D165" i="4" l="1"/>
  <c r="E390" i="4"/>
  <c r="D390" i="4" l="1"/>
  <c r="E489" i="4"/>
  <c r="D489" i="4" l="1"/>
  <c r="E86" i="4"/>
  <c r="D86" i="4" l="1"/>
  <c r="E366" i="4"/>
  <c r="D366" i="4" l="1"/>
  <c r="E64" i="4"/>
  <c r="D64" i="4" l="1"/>
  <c r="E483" i="4"/>
  <c r="D483" i="4" l="1"/>
  <c r="E124" i="4"/>
  <c r="D124" i="4" l="1"/>
  <c r="E523" i="4"/>
  <c r="D523" i="4" l="1"/>
  <c r="E168" i="4"/>
  <c r="D168" i="4" l="1"/>
  <c r="E384" i="4"/>
  <c r="D384" i="4" l="1"/>
  <c r="E444" i="4"/>
  <c r="D444" i="4" l="1"/>
  <c r="E345" i="4"/>
  <c r="D345" i="4" l="1"/>
  <c r="E395" i="4"/>
  <c r="D395" i="4" l="1"/>
  <c r="E380" i="4"/>
  <c r="D380" i="4" l="1"/>
  <c r="E256" i="4"/>
  <c r="D256" i="4" l="1"/>
  <c r="E306" i="4"/>
  <c r="D306" i="4" l="1"/>
  <c r="E269" i="4"/>
  <c r="D269" i="4" l="1"/>
  <c r="E61" i="4"/>
  <c r="D61" i="4" l="1"/>
  <c r="E159" i="4"/>
  <c r="D159" i="4" l="1"/>
  <c r="E268" i="4"/>
  <c r="D268" i="4" l="1"/>
  <c r="E360" i="4"/>
  <c r="D360" i="4" l="1"/>
  <c r="E409" i="4"/>
  <c r="D409" i="4" l="1"/>
  <c r="E506" i="4"/>
  <c r="D506" i="4" l="1"/>
  <c r="E501" i="4"/>
  <c r="D501" i="4" l="1"/>
  <c r="E245" i="4"/>
  <c r="D245" i="4" l="1"/>
  <c r="E107" i="4"/>
  <c r="D107" i="4" l="1"/>
  <c r="E343" i="4"/>
  <c r="D343" i="4" l="1"/>
  <c r="E271" i="4"/>
  <c r="D271" i="4" l="1"/>
  <c r="E357" i="4"/>
  <c r="D357" i="4" l="1"/>
  <c r="E55" i="4"/>
  <c r="G55" i="4" l="1"/>
  <c r="I55" i="4" s="1"/>
  <c r="G56" i="4"/>
  <c r="I56" i="4" s="1"/>
  <c r="D55" i="4"/>
  <c r="E278" i="4"/>
  <c r="F55" i="4" l="1"/>
  <c r="H55" i="4" s="1"/>
  <c r="F56" i="4"/>
  <c r="H56" i="4" s="1"/>
  <c r="D278" i="4"/>
  <c r="E457" i="4"/>
  <c r="D457" i="4" l="1"/>
  <c r="E508" i="4"/>
  <c r="D508" i="4" l="1"/>
  <c r="E311" i="4"/>
  <c r="D311" i="4" l="1"/>
  <c r="E331" i="4"/>
  <c r="D331" i="4" l="1"/>
  <c r="E318" i="4"/>
  <c r="D318" i="4" l="1"/>
  <c r="E339" i="4"/>
  <c r="D339" i="4" l="1"/>
  <c r="E128" i="4"/>
  <c r="D128" i="4" l="1"/>
  <c r="E288" i="4"/>
  <c r="D288" i="4" l="1"/>
  <c r="E473" i="4"/>
  <c r="D473" i="4" l="1"/>
  <c r="E75" i="4"/>
  <c r="D75" i="4" l="1"/>
  <c r="E182" i="4"/>
  <c r="D182" i="4" l="1"/>
  <c r="E192" i="4"/>
  <c r="D192" i="4" l="1"/>
  <c r="E260" i="4"/>
  <c r="D260" i="4" l="1"/>
  <c r="E495" i="4"/>
  <c r="D495" i="4" l="1"/>
  <c r="E525" i="4"/>
  <c r="D525" i="4" l="1"/>
  <c r="E155" i="4"/>
  <c r="D155" i="4" l="1"/>
  <c r="E87" i="4"/>
  <c r="D87" i="4" l="1"/>
  <c r="E342" i="4"/>
  <c r="D342" i="4" l="1"/>
  <c r="E122" i="4"/>
  <c r="D122" i="4" l="1"/>
  <c r="E277" i="4"/>
  <c r="D277" i="4" l="1"/>
  <c r="E63" i="4"/>
  <c r="D63" i="4" l="1"/>
  <c r="E243" i="4"/>
  <c r="D243" i="4" l="1"/>
  <c r="E280" i="4"/>
  <c r="D280" i="4" l="1"/>
  <c r="E479" i="4"/>
  <c r="D479" i="4" l="1"/>
  <c r="E139" i="4"/>
  <c r="D139" i="4" l="1"/>
  <c r="E504" i="4"/>
  <c r="D504" i="4" l="1"/>
  <c r="E516" i="4"/>
  <c r="D516" i="4" l="1"/>
  <c r="E68" i="4"/>
  <c r="D68" i="4" l="1"/>
  <c r="E141" i="4"/>
  <c r="D141" i="4" l="1"/>
  <c r="E485" i="4"/>
  <c r="D485" i="4" l="1"/>
  <c r="E471" i="4"/>
  <c r="D471" i="4" l="1"/>
  <c r="E524" i="4"/>
  <c r="D524" i="4" l="1"/>
  <c r="E213" i="4"/>
  <c r="D213" i="4" l="1"/>
  <c r="E267" i="4"/>
  <c r="D267" i="4" l="1"/>
  <c r="E372" i="4"/>
  <c r="D372" i="4" l="1"/>
  <c r="E169" i="4"/>
  <c r="D169" i="4" l="1"/>
  <c r="A72" i="4" a="1"/>
  <c r="A72" i="4" l="1"/>
  <c r="A68" i="4" a="1"/>
  <c r="A68" i="4" l="1"/>
  <c r="A64" i="4" a="1"/>
  <c r="A64" i="4" l="1"/>
  <c r="A439" i="4" a="1"/>
  <c r="A439" i="4" l="1"/>
  <c r="A219" i="4" a="1"/>
  <c r="A219" i="4" l="1"/>
  <c r="A521" i="4" a="1"/>
  <c r="A521" i="4" l="1"/>
  <c r="A187" i="4" a="1"/>
  <c r="A187" i="4" l="1"/>
  <c r="A500" i="4" a="1"/>
  <c r="A500" i="4" l="1"/>
  <c r="A432" i="4" a="1"/>
  <c r="A432" i="4" l="1"/>
  <c r="A285" i="4" a="1"/>
  <c r="A285" i="4" l="1"/>
  <c r="A240" i="4" a="1"/>
  <c r="A240" i="4" l="1"/>
  <c r="A100" i="4" a="1"/>
  <c r="A100" i="4" l="1"/>
  <c r="A446" i="4" a="1"/>
  <c r="A446" i="4" l="1"/>
  <c r="A250" i="4" a="1"/>
  <c r="A250" i="4" l="1"/>
  <c r="A468" i="4" a="1"/>
  <c r="A468" i="4" l="1"/>
  <c r="A460" i="4" a="1"/>
  <c r="A460" i="4" l="1"/>
  <c r="A245" i="4" a="1"/>
  <c r="A245" i="4" l="1"/>
  <c r="A109" i="4" a="1"/>
  <c r="A109" i="4" l="1"/>
  <c r="A73" i="4" a="1"/>
  <c r="A73" i="4" l="1"/>
  <c r="A172" i="4" a="1"/>
  <c r="A172" i="4" l="1"/>
  <c r="A311" i="4" a="1"/>
  <c r="A311" i="4" l="1"/>
  <c r="A91" i="4" a="1"/>
  <c r="A91" i="4" l="1"/>
  <c r="A126" i="4" a="1"/>
  <c r="A126" i="4" l="1"/>
  <c r="A393" i="4" a="1"/>
  <c r="A393" i="4" l="1"/>
  <c r="A276" i="4" a="1"/>
  <c r="A276" i="4" l="1"/>
  <c r="A396" i="4" a="1"/>
  <c r="A396" i="4" l="1"/>
  <c r="A279" i="4" a="1"/>
  <c r="A279" i="4" l="1"/>
  <c r="A531" i="4" a="1"/>
  <c r="A531" i="4" l="1"/>
  <c r="A301" i="4" a="1"/>
  <c r="A301" i="4" l="1"/>
  <c r="A105" i="4" a="1"/>
  <c r="A105" i="4" l="1"/>
  <c r="A372" i="4" a="1"/>
  <c r="A372" i="4" l="1"/>
  <c r="A400" i="4" a="1"/>
  <c r="A400" i="4" l="1"/>
  <c r="A496" i="4" a="1"/>
  <c r="A496" i="4" l="1"/>
  <c r="A157" i="4" a="1"/>
  <c r="A157" i="4" l="1"/>
  <c r="A104" i="4" a="1"/>
  <c r="A104" i="4" l="1"/>
  <c r="A411" i="4" a="1"/>
  <c r="A411" i="4" l="1"/>
  <c r="A318" i="4" a="1"/>
  <c r="A318" i="4" l="1"/>
  <c r="A122" i="4" a="1"/>
  <c r="A122" i="4" l="1"/>
  <c r="A340" i="4" a="1"/>
  <c r="A340" i="4" l="1"/>
  <c r="A332" i="4" a="1"/>
  <c r="A332" i="4" l="1"/>
  <c r="A117" i="4" a="1"/>
  <c r="A117" i="4" l="1"/>
  <c r="A444" i="4" a="1"/>
  <c r="A444" i="4" l="1"/>
  <c r="A81" i="4" a="1"/>
  <c r="A81" i="4" l="1"/>
  <c r="A176" i="4" a="1"/>
  <c r="A176" i="4" l="1"/>
  <c r="A483" i="4" a="1"/>
  <c r="A483" i="4" l="1"/>
  <c r="A183" i="4" a="1"/>
  <c r="A183" i="4" l="1"/>
  <c r="A450" i="4" a="1"/>
  <c r="A450" i="4" l="1"/>
  <c r="A461" i="4" a="1"/>
  <c r="A461" i="4" l="1"/>
  <c r="A328" i="4" a="1"/>
  <c r="A328" i="4" l="1"/>
  <c r="A148" i="4" a="1"/>
  <c r="A148" i="4" l="1"/>
  <c r="A268" i="4" a="1"/>
  <c r="A268" i="4" l="1"/>
  <c r="A151" i="4" a="1"/>
  <c r="A151" i="4" l="1"/>
  <c r="A418" i="4" a="1"/>
  <c r="A418" i="4" l="1"/>
  <c r="A173" i="4" a="1"/>
  <c r="A173" i="4" l="1"/>
  <c r="A209" i="4" a="1"/>
  <c r="A209" i="4" l="1"/>
  <c r="A244" i="4" a="1"/>
  <c r="A244" i="4" l="1"/>
  <c r="A512" i="4" a="1"/>
  <c r="A512" i="4" l="1"/>
  <c r="A504" i="4" a="1"/>
  <c r="A504" i="4" l="1"/>
  <c r="A492" i="4" a="1"/>
  <c r="A492" i="4" l="1"/>
  <c r="A503" i="4" a="1"/>
  <c r="A503" i="4" l="1"/>
  <c r="A283" i="4" a="1"/>
  <c r="A283" i="4" l="1"/>
  <c r="A190" i="4" a="1"/>
  <c r="A190" i="4" l="1"/>
  <c r="A457" i="4" a="1"/>
  <c r="A457" i="4" l="1"/>
  <c r="A212" i="4" a="1"/>
  <c r="A212" i="4" l="1"/>
  <c r="A204" i="4" a="1"/>
  <c r="A204" i="4" l="1"/>
  <c r="A452" i="4" a="1"/>
  <c r="A452" i="4" l="1"/>
  <c r="A316" i="4" a="1"/>
  <c r="A316" i="4" l="1"/>
  <c r="A407" i="4" a="1"/>
  <c r="A407" i="4" l="1"/>
  <c r="A320" i="4" a="1"/>
  <c r="A320" i="4" l="1"/>
  <c r="A355" i="4" a="1"/>
  <c r="A355" i="4" l="1"/>
  <c r="A518" i="4" a="1"/>
  <c r="A518" i="4" l="1"/>
  <c r="A322" i="4" a="1"/>
  <c r="A322" i="4" l="1"/>
  <c r="A333" i="4" a="1"/>
  <c r="A333" i="4" l="1"/>
  <c r="A152" i="4" a="1"/>
  <c r="A152" i="4" l="1"/>
  <c r="A312" i="4" a="1"/>
  <c r="A312" i="4" l="1"/>
  <c r="A140" i="4" a="1"/>
  <c r="A140" i="4" l="1"/>
  <c r="A486" i="4" a="1"/>
  <c r="A486" i="4" l="1"/>
  <c r="A290" i="4" a="1"/>
  <c r="A290" i="4" l="1"/>
  <c r="A508" i="4" a="1"/>
  <c r="A508" i="4" l="1"/>
  <c r="A264" i="4" a="1"/>
  <c r="A264" i="4" l="1"/>
  <c r="A116" i="4" a="1"/>
  <c r="A116" i="4" l="1"/>
  <c r="A384" i="4" a="1"/>
  <c r="A384" i="4" l="1"/>
  <c r="A488" i="4" a="1"/>
  <c r="A488" i="4" l="1"/>
  <c r="A364" i="4" a="1"/>
  <c r="A364" i="4" l="1"/>
  <c r="A375" i="4" a="1"/>
  <c r="A375" i="4" l="1"/>
  <c r="A155" i="4" a="1"/>
  <c r="A155" i="4" l="1"/>
  <c r="A525" i="4" a="1"/>
  <c r="A525" i="4" l="1"/>
  <c r="A224" i="4" a="1"/>
  <c r="A224" i="4" l="1"/>
  <c r="A216" i="4" a="1"/>
  <c r="A216" i="4" l="1"/>
  <c r="A76" i="4" a="1"/>
  <c r="A76" i="4" l="1"/>
  <c r="A324" i="4" a="1"/>
  <c r="A324" i="4" l="1"/>
  <c r="A188" i="4" a="1"/>
  <c r="A188" i="4" l="1"/>
  <c r="A447" i="4" a="1"/>
  <c r="A447" i="4" l="1"/>
  <c r="A227" i="4" a="1"/>
  <c r="A227" i="4" l="1"/>
  <c r="A390" i="4" a="1"/>
  <c r="A390" i="4" l="1"/>
  <c r="A194" i="4" a="1"/>
  <c r="A194" i="4" l="1"/>
  <c r="A205" i="4" a="1"/>
  <c r="A205" i="4" l="1"/>
  <c r="A272" i="4" a="1"/>
  <c r="A272" i="4" l="1"/>
  <c r="A144" i="4" a="1"/>
  <c r="A144" i="4" l="1"/>
  <c r="A451" i="4" a="1"/>
  <c r="A451" i="4" l="1"/>
  <c r="A358" i="4" a="1"/>
  <c r="A358" i="4" l="1"/>
  <c r="A162" i="4" a="1"/>
  <c r="A162" i="4" l="1"/>
  <c r="A380" i="4" a="1"/>
  <c r="A380" i="4" l="1"/>
  <c r="A120" i="4" a="1"/>
  <c r="A120" i="4" l="1"/>
  <c r="A427" i="4" a="1"/>
  <c r="A427" i="4" l="1"/>
  <c r="A416" i="4" a="1"/>
  <c r="A416" i="4" l="1"/>
  <c r="A424" i="4" a="1"/>
  <c r="A424" i="4" l="1"/>
  <c r="A236" i="4" a="1"/>
  <c r="A236" i="4" l="1"/>
  <c r="A247" i="4" a="1"/>
  <c r="A247" i="4" l="1"/>
  <c r="A514" i="4" a="1"/>
  <c r="A514" i="4" l="1"/>
  <c r="A397" i="4" a="1"/>
  <c r="A397" i="4" l="1"/>
  <c r="A88" i="4" a="1"/>
  <c r="A88" i="4" l="1"/>
  <c r="A80" i="4" a="1"/>
  <c r="A80" i="4" l="1"/>
  <c r="A387" i="4" a="1"/>
  <c r="A387" i="4" l="1"/>
  <c r="A200" i="4" a="1"/>
  <c r="A200" i="4" l="1"/>
  <c r="A507" i="4" a="1"/>
  <c r="A507" i="4" l="1"/>
  <c r="A233" i="4" a="1"/>
  <c r="A233" i="4" l="1"/>
  <c r="A319" i="4" a="1"/>
  <c r="A319" i="4" l="1"/>
  <c r="A99" i="4" a="1"/>
  <c r="A99" i="4" l="1"/>
  <c r="A262" i="4" a="1"/>
  <c r="A262" i="4" l="1"/>
  <c r="A529" i="4" a="1"/>
  <c r="A529" i="4" l="1"/>
  <c r="A77" i="4" a="1"/>
  <c r="A77" i="4" l="1"/>
  <c r="A423" i="4" a="1"/>
  <c r="A423" i="4" l="1"/>
  <c r="A256" i="4" a="1"/>
  <c r="A256" i="4" l="1"/>
  <c r="A323" i="4" a="1"/>
  <c r="A323" i="4" l="1"/>
  <c r="A230" i="4" a="1"/>
  <c r="A230" i="4" l="1"/>
  <c r="A497" i="4" a="1"/>
  <c r="A497" i="4" l="1"/>
  <c r="A252" i="4" a="1"/>
  <c r="A252" i="4" l="1"/>
  <c r="A519" i="4" a="1"/>
  <c r="A519" i="4" l="1"/>
  <c r="A299" i="4" a="1"/>
  <c r="A299" i="4" l="1"/>
  <c r="A472" i="4" a="1"/>
  <c r="A472" i="4" l="1"/>
  <c r="A108" i="4" a="1"/>
  <c r="A108" i="4" l="1"/>
  <c r="A119" i="4" a="1"/>
  <c r="A119" i="4" l="1"/>
  <c r="A386" i="4" a="1"/>
  <c r="A386" i="4" l="1"/>
  <c r="A269" i="4" a="1"/>
  <c r="A269" i="4" l="1"/>
  <c r="A487" i="4" a="1"/>
  <c r="A487" i="4" l="1"/>
  <c r="A479" i="4" a="1"/>
  <c r="A479" i="4" l="1"/>
  <c r="A208" i="4" a="1"/>
  <c r="A208" i="4" l="1"/>
  <c r="A352" i="4" a="1"/>
  <c r="A352" i="4" l="1"/>
  <c r="A371" i="4" a="1"/>
  <c r="A371" i="4" l="1"/>
  <c r="A524" i="4" a="1"/>
  <c r="A524" i="4" l="1"/>
  <c r="A191" i="4" a="1"/>
  <c r="A191" i="4" l="1"/>
  <c r="A458" i="4" a="1"/>
  <c r="A458" i="4" l="1"/>
  <c r="A134" i="4" a="1"/>
  <c r="A134" i="4" l="1"/>
  <c r="A401" i="4" a="1"/>
  <c r="A401" i="4" l="1"/>
  <c r="A412" i="4" a="1"/>
  <c r="A412" i="4" l="1"/>
  <c r="A295" i="4" a="1"/>
  <c r="A295" i="4" l="1"/>
  <c r="A415" i="4" a="1"/>
  <c r="A415" i="4" l="1"/>
  <c r="A195" i="4" a="1"/>
  <c r="A195" i="4" l="1"/>
  <c r="A102" i="4" a="1"/>
  <c r="A102" i="4" l="1"/>
  <c r="A280" i="4" a="1"/>
  <c r="A280" i="4" l="1"/>
  <c r="A124" i="4" a="1"/>
  <c r="A124" i="4" l="1"/>
  <c r="A391" i="4" a="1"/>
  <c r="A391" i="4" l="1"/>
  <c r="A171" i="4" a="1"/>
  <c r="A171" i="4" l="1"/>
  <c r="A528" i="4" a="1"/>
  <c r="A528" i="4" l="1"/>
  <c r="A112" i="4" a="1"/>
  <c r="A112" i="4" l="1"/>
  <c r="A419" i="4" a="1"/>
  <c r="A419" i="4" l="1"/>
  <c r="A454" i="4" a="1"/>
  <c r="A454" i="4" l="1"/>
  <c r="A258" i="4" a="1"/>
  <c r="A258" i="4" l="1"/>
  <c r="A141" i="4" a="1"/>
  <c r="A141" i="4" l="1"/>
  <c r="A359" i="4" a="1"/>
  <c r="A359" i="4" l="1"/>
  <c r="A351" i="4" a="1"/>
  <c r="A351" i="4" l="1"/>
  <c r="A368" i="4" a="1"/>
  <c r="A368" i="4" l="1"/>
  <c r="A463" i="4" a="1"/>
  <c r="A463" i="4" l="1"/>
  <c r="A243" i="4" a="1"/>
  <c r="A243" i="4" l="1"/>
  <c r="A254" i="4" a="1"/>
  <c r="A254" i="4" l="1"/>
  <c r="A526" i="4" a="1"/>
  <c r="A526" i="4" l="1"/>
  <c r="A330" i="4" a="1"/>
  <c r="A330" i="4" l="1"/>
  <c r="A469" i="4" a="1"/>
  <c r="A469" i="4" l="1"/>
  <c r="A273" i="4" a="1"/>
  <c r="A273" i="4" l="1"/>
  <c r="A284" i="4" a="1"/>
  <c r="A284" i="4" l="1"/>
  <c r="A167" i="4" a="1"/>
  <c r="A167" i="4" l="1"/>
  <c r="A287" i="4" a="1"/>
  <c r="A287" i="4" l="1"/>
  <c r="A515" i="4" a="1"/>
  <c r="A515" i="4" l="1"/>
  <c r="A437" i="4" a="1"/>
  <c r="A437" i="4" l="1"/>
  <c r="A128" i="4" a="1"/>
  <c r="A128" i="4" l="1"/>
  <c r="A435" i="4" a="1"/>
  <c r="A435" i="4" l="1"/>
  <c r="A263" i="4" a="1"/>
  <c r="A263" i="4" l="1"/>
  <c r="A530" i="4" a="1"/>
  <c r="A530" i="4" l="1"/>
  <c r="A392" i="4" a="1"/>
  <c r="A392" i="4" l="1"/>
  <c r="A511" i="4" a="1"/>
  <c r="A511" i="4" l="1"/>
  <c r="A291" i="4" a="1"/>
  <c r="A291" i="4" l="1"/>
  <c r="A326" i="4" a="1"/>
  <c r="A326" i="4" l="1"/>
  <c r="A130" i="4" a="1"/>
  <c r="A130" i="4" l="1"/>
  <c r="A476" i="4" a="1"/>
  <c r="A476" i="4" l="1"/>
  <c r="A231" i="4" a="1"/>
  <c r="A231" i="4" l="1"/>
  <c r="A223" i="4" a="1"/>
  <c r="A223" i="4" l="1"/>
  <c r="A471" i="4" a="1"/>
  <c r="A471" i="4" l="1"/>
  <c r="A335" i="4" a="1"/>
  <c r="A335" i="4" l="1"/>
  <c r="A115" i="4" a="1"/>
  <c r="A115" i="4" l="1"/>
  <c r="A404" i="4" a="1"/>
  <c r="A404" i="4" l="1"/>
  <c r="A398" i="4" a="1"/>
  <c r="A398" i="4" l="1"/>
  <c r="A202" i="4" a="1"/>
  <c r="A202" i="4" l="1"/>
  <c r="A341" i="4" a="1"/>
  <c r="A341" i="4" l="1"/>
  <c r="A344" i="4" a="1"/>
  <c r="A344" i="4" l="1"/>
  <c r="A156" i="4" a="1"/>
  <c r="A156" i="4" l="1"/>
  <c r="A502" i="4" a="1"/>
  <c r="A502" i="4" l="1"/>
  <c r="A159" i="4" a="1"/>
  <c r="A159" i="4" l="1"/>
  <c r="A426" i="4" a="1"/>
  <c r="A426" i="4" l="1"/>
  <c r="A309" i="4" a="1"/>
  <c r="A309" i="4" l="1"/>
  <c r="A527" i="4" a="1"/>
  <c r="A527" i="4" l="1"/>
  <c r="A307" i="4" a="1"/>
  <c r="A307" i="4" l="1"/>
  <c r="A135" i="4" a="1"/>
  <c r="A135" i="4" l="1"/>
  <c r="A402" i="4" a="1"/>
  <c r="A402" i="4" l="1"/>
  <c r="A448" i="4" a="1"/>
  <c r="A448" i="4" l="1"/>
  <c r="A383" i="4" a="1"/>
  <c r="A383" i="4" l="1"/>
  <c r="A163" i="4" a="1"/>
  <c r="A163" i="4" l="1"/>
  <c r="A198" i="4" a="1"/>
  <c r="A198" i="4" l="1"/>
  <c r="A465" i="4" a="1"/>
  <c r="A465" i="4" l="1"/>
  <c r="A348" i="4" a="1"/>
  <c r="A348" i="4" l="1"/>
  <c r="A103" i="4" a="1"/>
  <c r="A103" i="4" l="1"/>
  <c r="A95" i="4" a="1"/>
  <c r="A95" i="4" l="1"/>
  <c r="A343" i="4" a="1"/>
  <c r="A343" i="4" l="1"/>
  <c r="A207" i="4" a="1"/>
  <c r="A207" i="4" l="1"/>
  <c r="A474" i="4" a="1"/>
  <c r="A474" i="4" l="1"/>
  <c r="A429" i="4" a="1"/>
  <c r="A429" i="4" l="1"/>
  <c r="A270" i="4" a="1"/>
  <c r="A270" i="4" l="1"/>
  <c r="A74" i="4" a="1"/>
  <c r="A74" i="4" l="1"/>
  <c r="A213" i="4" a="1"/>
  <c r="A213" i="4" l="1"/>
  <c r="A160" i="4" a="1"/>
  <c r="A160" i="4" l="1"/>
  <c r="A467" i="4" a="1"/>
  <c r="A467" i="4" l="1"/>
  <c r="A374" i="4" a="1"/>
  <c r="A374" i="4" l="1"/>
  <c r="A494" i="4" a="1"/>
  <c r="A494" i="4" l="1"/>
  <c r="A298" i="4" a="1"/>
  <c r="A298" i="4" l="1"/>
  <c r="A181" i="4" a="1"/>
  <c r="A181" i="4" l="1"/>
  <c r="A399" i="4" a="1"/>
  <c r="A399" i="4" l="1"/>
  <c r="A179" i="4" a="1"/>
  <c r="A179" i="4" l="1"/>
  <c r="A470" i="4" a="1"/>
  <c r="A470" i="4" l="1"/>
  <c r="A274" i="4" a="1"/>
  <c r="A274" i="4" l="1"/>
  <c r="A520" i="4" a="1"/>
  <c r="A520" i="4" l="1"/>
  <c r="A255" i="4" a="1"/>
  <c r="A255" i="4" l="1"/>
  <c r="A522" i="4" a="1"/>
  <c r="A522" i="4" l="1"/>
  <c r="A533" i="4" a="1"/>
  <c r="A533" i="4" l="1"/>
  <c r="A337" i="4" a="1"/>
  <c r="A337" i="4" l="1"/>
  <c r="A220" i="4" a="1"/>
  <c r="A220" i="4" l="1"/>
  <c r="A438" i="4" a="1"/>
  <c r="A438" i="4" l="1"/>
  <c r="A430" i="4" a="1"/>
  <c r="A430" i="4" l="1"/>
  <c r="A215" i="4" a="1"/>
  <c r="A215" i="4" l="1"/>
  <c r="A79" i="4" a="1"/>
  <c r="A79" i="4" l="1"/>
  <c r="A346" i="4" a="1"/>
  <c r="A346" i="4" l="1"/>
  <c r="A300" i="4" a="1"/>
  <c r="A300" i="4" l="1"/>
  <c r="A142" i="4" a="1"/>
  <c r="A142" i="4" l="1"/>
  <c r="A409" i="4" a="1"/>
  <c r="A409" i="4" l="1"/>
  <c r="A85" i="4" a="1"/>
  <c r="A85" i="4" l="1"/>
  <c r="A288" i="4" a="1"/>
  <c r="A288" i="4" l="1"/>
  <c r="A339" i="4" a="1"/>
  <c r="A339" i="4" l="1"/>
  <c r="A246" i="4" a="1"/>
  <c r="A246" i="4" l="1"/>
  <c r="A366" i="4" a="1"/>
  <c r="A366" i="4" l="1"/>
  <c r="A170" i="4" a="1"/>
  <c r="A170" i="4" l="1"/>
  <c r="A516" i="4" a="1"/>
  <c r="A516" i="4" l="1"/>
  <c r="A271" i="4" a="1"/>
  <c r="A271" i="4" l="1"/>
  <c r="A499" i="4" a="1"/>
  <c r="A499" i="4" l="1"/>
  <c r="A342" i="4" a="1"/>
  <c r="A342" i="4" l="1"/>
  <c r="A146" i="4" a="1"/>
  <c r="A146" i="4" l="1"/>
  <c r="A376" i="4" a="1"/>
  <c r="A376" i="4" l="1"/>
  <c r="A127" i="4" a="1"/>
  <c r="A127" i="4" l="1"/>
  <c r="A394" i="4" a="1"/>
  <c r="A394" i="4" l="1"/>
  <c r="A405" i="4" a="1"/>
  <c r="A405" i="4" l="1"/>
  <c r="A232" i="4" a="1"/>
  <c r="A232" i="4" l="1"/>
  <c r="A92" i="4" a="1"/>
  <c r="A92" i="4" l="1"/>
  <c r="A310" i="4" a="1"/>
  <c r="A310" i="4" l="1"/>
  <c r="A302" i="4" a="1"/>
  <c r="A302" i="4" l="1"/>
  <c r="A87" i="4" a="1"/>
  <c r="A87" i="4" l="1"/>
  <c r="A414" i="4" a="1"/>
  <c r="A414" i="4" l="1"/>
  <c r="A477" i="4" a="1"/>
  <c r="A477" i="4" l="1"/>
  <c r="A281" i="4" a="1"/>
  <c r="A281" i="4" l="1"/>
  <c r="A420" i="4" a="1"/>
  <c r="A420" i="4" l="1"/>
  <c r="A431" i="4" a="1"/>
  <c r="A431" i="4" l="1"/>
  <c r="A211" i="4" a="1"/>
  <c r="A211" i="4" l="1"/>
  <c r="A118" i="4" a="1"/>
  <c r="A118" i="4" l="1"/>
  <c r="A238" i="4" a="1"/>
  <c r="A238" i="4" l="1"/>
  <c r="A505" i="4" a="1"/>
  <c r="A505" i="4" l="1"/>
  <c r="A388" i="4" a="1"/>
  <c r="A388" i="4" l="1"/>
  <c r="A143" i="4" a="1"/>
  <c r="A143" i="4" l="1"/>
  <c r="A410" i="4" a="1"/>
  <c r="A410" i="4" l="1"/>
  <c r="A214" i="4" a="1"/>
  <c r="A214" i="4" l="1"/>
  <c r="A481" i="4" a="1"/>
  <c r="A481" i="4" l="1"/>
  <c r="A480" i="4" a="1"/>
  <c r="A480" i="4" l="1"/>
  <c r="A462" i="4" a="1"/>
  <c r="A462" i="4" l="1"/>
  <c r="A266" i="4" a="1"/>
  <c r="A266" i="4" l="1"/>
  <c r="A277" i="4" a="1"/>
  <c r="A277" i="4" l="1"/>
  <c r="A96" i="4" a="1"/>
  <c r="A96" i="4" l="1"/>
  <c r="A403" i="4" a="1"/>
  <c r="A403" i="4" l="1"/>
  <c r="A182" i="4" a="1"/>
  <c r="A182" i="4" l="1"/>
  <c r="A174" i="4" a="1"/>
  <c r="A174" i="4" l="1"/>
  <c r="A422" i="4" a="1"/>
  <c r="A422" i="4" l="1"/>
  <c r="A286" i="4" a="1"/>
  <c r="A286" i="4" l="1"/>
  <c r="A349" i="4" a="1"/>
  <c r="A349" i="4" l="1"/>
  <c r="A153" i="4" a="1"/>
  <c r="A153" i="4" l="1"/>
  <c r="A292" i="4" a="1"/>
  <c r="A292" i="4" l="1"/>
  <c r="A303" i="4" a="1"/>
  <c r="A303" i="4" l="1"/>
  <c r="A83" i="4" a="1"/>
  <c r="A83" i="4" l="1"/>
  <c r="A453" i="4" a="1"/>
  <c r="A453" i="4" l="1"/>
  <c r="A110" i="4" a="1"/>
  <c r="A110" i="4" l="1"/>
  <c r="A377" i="4" a="1"/>
  <c r="A377" i="4" l="1"/>
  <c r="A260" i="4" a="1"/>
  <c r="A260" i="4" l="1"/>
  <c r="A478" i="4" a="1"/>
  <c r="A478" i="4" l="1"/>
  <c r="A282" i="4" a="1"/>
  <c r="A282" i="4" l="1"/>
  <c r="A86" i="4" a="1"/>
  <c r="A86" i="4" l="1"/>
  <c r="A353" i="4" a="1"/>
  <c r="A353" i="4" l="1"/>
  <c r="A408" i="4" a="1"/>
  <c r="A408" i="4" l="1"/>
  <c r="A334" i="4" a="1"/>
  <c r="A334" i="4" l="1"/>
  <c r="A138" i="4" a="1"/>
  <c r="A138" i="4" l="1"/>
  <c r="A149" i="4" a="1"/>
  <c r="A149" i="4" l="1"/>
  <c r="A495" i="4" a="1"/>
  <c r="A495" i="4" l="1"/>
  <c r="A275" i="4" a="1"/>
  <c r="A275" i="4" l="1"/>
  <c r="A517" i="4" a="1"/>
  <c r="A517" i="4" l="1"/>
  <c r="A509" i="4" a="1"/>
  <c r="A509" i="4" l="1"/>
  <c r="A294" i="4" a="1"/>
  <c r="A294" i="4" l="1"/>
  <c r="A158" i="4" a="1"/>
  <c r="A158" i="4" l="1"/>
  <c r="A221" i="4" a="1"/>
  <c r="A221" i="4" l="1"/>
  <c r="A360" i="4" a="1"/>
  <c r="A360" i="4" l="1"/>
  <c r="A164" i="4" a="1"/>
  <c r="A164" i="4" l="1"/>
  <c r="A175" i="4" a="1"/>
  <c r="A175" i="4" l="1"/>
  <c r="A442" i="4" a="1"/>
  <c r="A442" i="4" l="1"/>
  <c r="A325" i="4" a="1"/>
  <c r="A325" i="4" l="1"/>
  <c r="A445" i="4" a="1"/>
  <c r="A445" i="4" l="1"/>
  <c r="A296" i="4" a="1"/>
  <c r="A296" i="4" l="1"/>
  <c r="A132" i="4" a="1"/>
  <c r="A132" i="4" l="1"/>
  <c r="A350" i="4" a="1"/>
  <c r="A350" i="4" l="1"/>
  <c r="A154" i="4" a="1"/>
  <c r="A154" i="4" l="1"/>
  <c r="A421" i="4" a="1"/>
  <c r="A421" i="4" l="1"/>
  <c r="A225" i="4" a="1"/>
  <c r="A225" i="4" l="1"/>
  <c r="A464" i="4" a="1"/>
  <c r="A464" i="4" l="1"/>
  <c r="A206" i="4" a="1"/>
  <c r="A206" i="4" l="1"/>
  <c r="A473" i="4" a="1"/>
  <c r="A473" i="4" l="1"/>
  <c r="A484" i="4" a="1"/>
  <c r="A484" i="4" l="1"/>
  <c r="A367" i="4" a="1"/>
  <c r="A367" i="4" l="1"/>
  <c r="A147" i="4" a="1"/>
  <c r="A147" i="4" l="1"/>
  <c r="A389" i="4" a="1"/>
  <c r="A389" i="4" l="1"/>
  <c r="A381" i="4" a="1"/>
  <c r="A381" i="4" l="1"/>
  <c r="A166" i="4" a="1"/>
  <c r="A166" i="4" l="1"/>
  <c r="A493" i="4" a="1"/>
  <c r="A493" i="4" l="1"/>
  <c r="A93" i="4" a="1"/>
  <c r="A93" i="4" l="1"/>
  <c r="A168" i="4" a="1"/>
  <c r="A168" i="4" l="1"/>
  <c r="A475" i="4" a="1"/>
  <c r="A475" i="4" l="1"/>
  <c r="A510" i="4" a="1"/>
  <c r="A510" i="4" l="1"/>
  <c r="A314" i="4" a="1"/>
  <c r="A314" i="4" l="1"/>
  <c r="A197" i="4" a="1"/>
  <c r="A197" i="4" l="1"/>
  <c r="A317" i="4" a="1"/>
  <c r="A317" i="4" l="1"/>
  <c r="A136" i="4" a="1"/>
  <c r="A136" i="4" l="1"/>
  <c r="A443" i="4" a="1"/>
  <c r="A443" i="4" l="1"/>
  <c r="A222" i="4" a="1"/>
  <c r="A222" i="4" l="1"/>
  <c r="A489" i="4" a="1"/>
  <c r="A489" i="4" l="1"/>
  <c r="A293" i="4" a="1"/>
  <c r="A293" i="4" l="1"/>
  <c r="A97" i="4" a="1"/>
  <c r="A97" i="4" l="1"/>
  <c r="A456" i="4" a="1"/>
  <c r="A456" i="4" l="1"/>
  <c r="A78" i="4" a="1"/>
  <c r="A78" i="4" l="1"/>
  <c r="A345" i="4" a="1"/>
  <c r="A345" i="4" l="1"/>
  <c r="A356" i="4" a="1"/>
  <c r="A356" i="4" l="1"/>
  <c r="A239" i="4" a="1"/>
  <c r="A239" i="4" l="1"/>
  <c r="A506" i="4" a="1"/>
  <c r="A506" i="4" l="1"/>
  <c r="A261" i="4" a="1"/>
  <c r="A261" i="4" l="1"/>
  <c r="A253" i="4" a="1"/>
  <c r="A253" i="4" l="1"/>
  <c r="A501" i="4" a="1"/>
  <c r="A501" i="4" l="1"/>
  <c r="A365" i="4" a="1"/>
  <c r="A365" i="4" l="1"/>
  <c r="A428" i="4" a="1"/>
  <c r="A428" i="4" l="1"/>
  <c r="A304" i="4" a="1"/>
  <c r="A304" i="4" l="1"/>
  <c r="A347" i="4" a="1"/>
  <c r="A347" i="4" l="1"/>
  <c r="A382" i="4" a="1"/>
  <c r="A382" i="4" l="1"/>
  <c r="A186" i="4" a="1"/>
  <c r="A186" i="4" l="1"/>
  <c r="A532" i="4" a="1"/>
  <c r="A532" i="4" l="1"/>
  <c r="A189" i="4" a="1"/>
  <c r="A189" i="4" l="1"/>
  <c r="A184" i="4" a="1"/>
  <c r="A184" i="4" l="1"/>
  <c r="A315" i="4" a="1"/>
  <c r="A315" i="4" l="1"/>
  <c r="A94" i="4" a="1"/>
  <c r="A94" i="4" l="1"/>
  <c r="A361" i="4" a="1"/>
  <c r="A361" i="4" l="1"/>
  <c r="A165" i="4" a="1"/>
  <c r="A165" i="4" l="1"/>
  <c r="A89" i="4" a="1"/>
  <c r="A89" i="4" l="1"/>
  <c r="A440" i="4" a="1"/>
  <c r="A440" i="4" l="1"/>
  <c r="A413" i="4" a="1"/>
  <c r="A413" i="4" l="1"/>
  <c r="A217" i="4" a="1"/>
  <c r="A217" i="4" l="1"/>
  <c r="A228" i="4" a="1"/>
  <c r="A228" i="4" l="1"/>
  <c r="A111" i="4" a="1"/>
  <c r="A111" i="4" l="1"/>
  <c r="A378" i="4" a="1"/>
  <c r="A378" i="4" l="1"/>
  <c r="A133" i="4" a="1"/>
  <c r="A133" i="4" l="1"/>
  <c r="A125" i="4" a="1"/>
  <c r="A125" i="4" l="1"/>
  <c r="A373" i="4" a="1"/>
  <c r="A373" i="4" l="1"/>
  <c r="A237" i="4" a="1"/>
  <c r="A237" i="4" l="1"/>
  <c r="A63" i="4" a="1"/>
  <c r="A63" i="4" l="1"/>
  <c r="A69" i="4" a="1"/>
  <c r="A69" i="4" l="1"/>
  <c r="A71" i="4" a="1"/>
  <c r="A71" i="4" l="1"/>
  <c r="A70" i="4" a="1"/>
  <c r="A70" i="4" l="1"/>
  <c r="A62" i="4" a="1"/>
  <c r="A62" i="4" l="1"/>
  <c r="A67" i="4" a="1"/>
  <c r="A67" i="4" l="1"/>
  <c r="A66" i="4" a="1"/>
  <c r="A66" i="4" l="1"/>
  <c r="A65" i="4" a="1"/>
  <c r="A65" i="4" l="1"/>
  <c r="A248" i="4" a="1"/>
  <c r="A248" i="4" l="1"/>
  <c r="A466" i="4" a="1"/>
  <c r="A466" i="4" l="1"/>
  <c r="A235" i="4" a="1"/>
  <c r="A235" i="4" l="1"/>
  <c r="A308" i="4" a="1"/>
  <c r="A308" i="4" l="1"/>
  <c r="A406" i="4" a="1"/>
  <c r="A406" i="4" l="1"/>
  <c r="A192" i="4" a="1"/>
  <c r="A192" i="4" l="1"/>
  <c r="A169" i="4" a="1"/>
  <c r="A169" i="4" l="1"/>
  <c r="A297" i="4" a="1"/>
  <c r="A297" i="4" l="1"/>
  <c r="A425" i="4" a="1"/>
  <c r="A425" i="4" l="1"/>
  <c r="A90" i="4" a="1"/>
  <c r="A90" i="4" l="1"/>
  <c r="A218" i="4" a="1"/>
  <c r="A218" i="4" l="1"/>
  <c r="A289" i="4" a="1"/>
  <c r="A289" i="4" l="1"/>
  <c r="A491" i="4" a="1"/>
  <c r="A491" i="4" l="1"/>
  <c r="A354" i="4" a="1"/>
  <c r="A354" i="4" l="1"/>
  <c r="A251" i="4" a="1"/>
  <c r="A251" i="4" l="1"/>
  <c r="A379" i="4" a="1"/>
  <c r="A379" i="4" l="1"/>
  <c r="A523" i="4" a="1"/>
  <c r="A523" i="4" l="1"/>
  <c r="A196" i="4" a="1"/>
  <c r="A196" i="4" l="1"/>
  <c r="A199" i="4" a="1"/>
  <c r="A199" i="4" l="1"/>
  <c r="A441" i="4" a="1"/>
  <c r="A441" i="4" l="1"/>
  <c r="A490" i="4" a="1"/>
  <c r="A490" i="4" l="1"/>
  <c r="A131" i="4" a="1"/>
  <c r="A131" i="4" l="1"/>
  <c r="A259" i="4" a="1"/>
  <c r="A259" i="4" l="1"/>
  <c r="A455" i="4" a="1"/>
  <c r="A455" i="4" l="1"/>
  <c r="A498" i="4" a="1"/>
  <c r="A498" i="4" l="1"/>
  <c r="A84" i="4" a="1"/>
  <c r="A84" i="4" l="1"/>
  <c r="A417" i="4" a="1"/>
  <c r="A417" i="4" l="1"/>
  <c r="A485" i="4" a="1"/>
  <c r="A485" i="4" l="1"/>
  <c r="A305" i="4" a="1"/>
  <c r="A305" i="4" l="1"/>
  <c r="A185" i="4" a="1"/>
  <c r="A185" i="4" l="1"/>
  <c r="A242" i="4" a="1"/>
  <c r="A242" i="4" l="1"/>
  <c r="A201" i="4" a="1"/>
  <c r="A201" i="4" l="1"/>
  <c r="A357" i="4" a="1"/>
  <c r="A357" i="4" l="1"/>
  <c r="A98" i="4" a="1"/>
  <c r="A98" i="4" l="1"/>
  <c r="A449" i="4" a="1"/>
  <c r="A449" i="4" l="1"/>
  <c r="A139" i="4" a="1"/>
  <c r="A139" i="4" l="1"/>
  <c r="A150" i="4" a="1"/>
  <c r="A150" i="4" l="1"/>
  <c r="A433" i="4" a="1"/>
  <c r="A433" i="4" l="1"/>
  <c r="A193" i="4" a="1"/>
  <c r="A193" i="4" l="1"/>
  <c r="A267" i="4" a="1"/>
  <c r="A267" i="4" l="1"/>
  <c r="A82" i="4" a="1"/>
  <c r="A82" i="4" l="1"/>
  <c r="A107" i="4" a="1"/>
  <c r="A107" i="4" l="1"/>
  <c r="A363" i="4" a="1"/>
  <c r="A363" i="4" l="1"/>
  <c r="A327" i="4" a="1"/>
  <c r="A327" i="4" l="1"/>
  <c r="A226" i="4" a="1"/>
  <c r="A226" i="4" l="1"/>
  <c r="A313" i="4" a="1"/>
  <c r="A313" i="4" l="1"/>
  <c r="A234" i="4" a="1"/>
  <c r="A234" i="4" l="1"/>
  <c r="A114" i="4" a="1"/>
  <c r="A114" i="4" l="1"/>
  <c r="A395" i="4" a="1"/>
  <c r="A395" i="4" l="1"/>
  <c r="A278" i="4" a="1"/>
  <c r="A278" i="4" l="1"/>
  <c r="A482" i="4" a="1"/>
  <c r="A482" i="4" l="1"/>
  <c r="A106" i="4" a="1"/>
  <c r="A106" i="4" l="1"/>
  <c r="A321" i="4" a="1"/>
  <c r="A321" i="4" l="1"/>
  <c r="A370" i="4" a="1"/>
  <c r="A370" i="4" l="1"/>
  <c r="A329" i="4" a="1"/>
  <c r="A329" i="4" l="1"/>
  <c r="A210" i="4" a="1"/>
  <c r="A210" i="4" l="1"/>
  <c r="A180" i="4" a="1"/>
  <c r="A180" i="4" l="1"/>
  <c r="A123" i="4" a="1"/>
  <c r="A123" i="4" l="1"/>
  <c r="A113" i="4" a="1"/>
  <c r="A113" i="4" l="1"/>
  <c r="A241" i="4" a="1"/>
  <c r="A241" i="4" l="1"/>
  <c r="A369" i="4" a="1"/>
  <c r="A369" i="4" l="1"/>
  <c r="A161" i="4" a="1"/>
  <c r="A161" i="4" l="1"/>
  <c r="A534" i="4" a="1"/>
  <c r="A534" i="4" l="1"/>
  <c r="A362" i="4" a="1"/>
  <c r="A362" i="4" l="1"/>
  <c r="A121" i="4" a="1"/>
  <c r="A121" i="4" l="1"/>
  <c r="A249" i="4" a="1"/>
  <c r="A249" i="4" l="1"/>
  <c r="A338" i="4" a="1"/>
  <c r="A338" i="4" l="1"/>
  <c r="A436" i="4" a="1"/>
  <c r="A436" i="4" l="1"/>
  <c r="A257" i="4" a="1"/>
  <c r="A257" i="4" l="1"/>
  <c r="A306" i="4" a="1"/>
  <c r="A306" i="4" l="1"/>
  <c r="A331" i="4" a="1"/>
  <c r="A331" i="4" l="1"/>
  <c r="A459" i="4" a="1"/>
  <c r="A459" i="4" l="1"/>
  <c r="A336" i="4" a="1"/>
  <c r="A336" i="4" l="1"/>
  <c r="A385" i="4" a="1"/>
  <c r="A385" i="4" l="1"/>
  <c r="A434" i="4" a="1"/>
  <c r="A434" i="4" l="1"/>
  <c r="A265" i="4" a="1"/>
  <c r="A265" i="4" l="1"/>
  <c r="A229" i="4" a="1"/>
  <c r="A229" i="4" l="1"/>
  <c r="A177" i="4" a="1"/>
  <c r="A177" i="4" l="1"/>
  <c r="A513" i="4" a="1"/>
  <c r="A513" i="4" l="1"/>
  <c r="A75" i="4" a="1"/>
  <c r="A75" i="4" l="1"/>
  <c r="A145" i="4" a="1"/>
  <c r="A145" i="4" l="1"/>
  <c r="A101" i="4" a="1"/>
  <c r="A101" i="4" l="1"/>
  <c r="A129" i="4" a="1"/>
  <c r="A129" i="4" l="1"/>
  <c r="A178" i="4" a="1"/>
  <c r="A178" i="4" l="1"/>
  <c r="A203" i="4" a="1"/>
  <c r="A203" i="4" l="1"/>
  <c r="A137" i="4" a="1"/>
  <c r="A137" i="4" l="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<sst xmlns="http://schemas.openxmlformats.org/spreadsheetml/2006/main" count="178" uniqueCount="155">
  <si>
    <t>Parameter</t>
  </si>
  <si>
    <t>Value</t>
  </si>
  <si>
    <t>Units</t>
  </si>
  <si>
    <t>Note/Meaning</t>
  </si>
  <si>
    <t>w_v</t>
  </si>
  <si>
    <t>–</t>
  </si>
  <si>
    <t>Visibility weight (real axis contribution); tunable, contributes to We/Ego space.</t>
  </si>
  <si>
    <t>w_r</t>
  </si>
  <si>
    <t>Resonance weight (imaginary axis contribution); tunable, contributes to Love/Hate space.</t>
  </si>
  <si>
    <t>w_f</t>
  </si>
  <si>
    <t>Positive fidelity weight (imaginary axis); tunable, strongest weight for fidelity when positive.</t>
  </si>
  <si>
    <t>w_a</t>
  </si>
  <si>
    <t>Altruism weight (imaginary axis); tunable, contributes to Love/Hate space.</t>
  </si>
  <si>
    <t>w_{S,R}</t>
  </si>
  <si>
    <t>Shared silence/presence weight (real axis contribution); tunable, contributes to We/Ego space.</t>
  </si>
  <si>
    <t>w_{S,I}</t>
  </si>
  <si>
    <t>fidelity_scaling_factor</t>
  </si>
  <si>
    <t>Negative fidelity depth scaling factor (LOCKED); scales negative fidelity by imaginary depth for asymmetry.</t>
  </si>
  <si>
    <t>fidelity_epsilon</t>
  </si>
  <si>
    <t>Collapse prevention floor for imaginary depth in negative fidelity scaling (LOCKED); prevents infinite sensitivity near zero.</t>
  </si>
  <si>
    <t>ΔS_real</t>
  </si>
  <si>
    <t>time⁻¹</t>
  </si>
  <si>
    <t>Real axis decay rate (toward Ego/target); tunable, magnitude of constant entropy pull per time unit on real axis.</t>
  </si>
  <si>
    <t>ΔS_imag</t>
  </si>
  <si>
    <t>Imaginary axis decay rate (toward neutral/target); tunable, magnitude of constant entropy pull per time unit on imaginary axis.</t>
  </si>
  <si>
    <t>entropy_real_target</t>
  </si>
  <si>
    <t>Real axis entropy target (deep Ego/isolation); configurable for scenarios, default for isolated apathy.</t>
  </si>
  <si>
    <t>entropy_imag_target</t>
  </si>
  <si>
    <t>Imaginary axis entropy target (neutral affect/apathy); configurable for scenarios, default for emotional numbing.</t>
  </si>
  <si>
    <t>entropy_per_event</t>
  </si>
  <si>
    <t>Entropy mode (False = per time unit with Δt scaling, True = fixed per event ignoring Δt); tunable, default is time-based for realistic decay.</t>
  </si>
  <si>
    <t>Component</t>
  </si>
  <si>
    <t>Formula</t>
  </si>
  <si>
    <t>Values/References</t>
  </si>
  <si>
    <t>Notes</t>
  </si>
  <si>
    <t>Primitive Normalization</t>
  </si>
  <si>
    <t>Fidelity Adjustment (f')</t>
  </si>
  <si>
    <t>Real Primitives Delta</t>
  </si>
  <si>
    <t>w_v = 0.8; w_{S,R} = 0.5; v and S = normalized primitives</t>
  </si>
  <si>
    <t>Imag Primitives Delta</t>
  </si>
  <si>
    <t>Real Entropy Pull</t>
  </si>
  <si>
    <t>Imag Entropy Pull</t>
  </si>
  <si>
    <t>Overall Position Update</t>
  </si>
  <si>
    <t>A. All weights (w_*) are defaults and tunable unless locked.
B. Entropy targets and rates are axis-independent (Rev 3.4 refinement for timeline independence).
C. Primitive inputs (v, r, f, a, S) are normalized from human-scale [-10, +10] to [-1, +1] before use (see Equation Sheet for details).
D. Expected magnitudes (e.g., casual relationships: 5-30) from CONSTANTS.md are not parameters but guidelines; not included here.</t>
  </si>
  <si>
    <t>Shared Breath weight (imaginary axis contribution); tunable, contributes to Love/Hate space.</t>
  </si>
  <si>
    <t>Primitive</t>
  </si>
  <si>
    <t>Real Axis Contribution (to Ego ↔ We)</t>
  </si>
  <si>
    <t>Imaginary Axis Contribution (to Hate ↔ Love)</t>
  </si>
  <si>
    <t>Weight Used</t>
  </si>
  <si>
    <t>Note</t>
  </si>
  <si>
    <t>Visibility</t>
  </si>
  <si>
    <t>v</t>
  </si>
  <si>
    <t>w_v = 0.8</t>
  </si>
  <si>
    <t>Measures how much M1 makes themselves visible/available to M2. Contributes directly to the real part of Δγ_self. Higher visibility pulls toward connection ("We" space).</t>
  </si>
  <si>
    <t>Resonance</t>
  </si>
  <si>
    <t>r</t>
  </si>
  <si>
    <t>w_r = 1.0</t>
  </si>
  <si>
    <t>Measures how attuned and responsive M1 is emotionally with M2. Contributes directly to the imaginary part of Δγ_self. Higher resonance builds love/affect.</t>
  </si>
  <si>
    <t>Fidelity</t>
  </si>
  <si>
    <t>Altruism</t>
  </si>
  <si>
    <t>a</t>
  </si>
  <si>
    <t>w_a = 0.6</t>
  </si>
  <si>
    <t>Measures selfless giving or sacrifice M1 enacts toward M2. Contributes to the imaginary part of Δγ_self. Builds love through care.</t>
  </si>
  <si>
    <t>Shared Silence/Presence (Shared Breath)</t>
  </si>
  <si>
    <t>S</t>
  </si>
  <si>
    <t>— (no contribution)</t>
  </si>
  <si>
    <t>Measures the felt quality of shared presence or silence as perceived by M1. Unique in contributing to both axes: real for "being there" (connection), imaginary for emotional depth in presence.</t>
  </si>
  <si>
    <t>w_v*v</t>
  </si>
  <si>
    <t>w_r*r</t>
  </si>
  <si>
    <t>w_a*a</t>
  </si>
  <si>
    <t>w_(S,R)*S</t>
  </si>
  <si>
    <t>w_(S,I)*S</t>
  </si>
  <si>
    <t>w_{S,R} = 0.5 (real)
w_{S,I} = 0.5 (imag)</t>
  </si>
  <si>
    <t>Measures faithfulness, reliability, and trust-keeping from M1 toward M2. Has the strongest influence on the Love/Hate axis among all primitives. Positive fidelity builds love steadily using the fixed base weight of 1.2. Negative fidelity (betrayal) is amplified by the current depth of love (|Im[γ_self(n)]|); the deeper the bond, the more a single betrayal hurts. This creates irreversible asymmetry: trust lost is far harder (and often proportionally much more damaging) to rebuild than it was to earn.</t>
  </si>
  <si>
    <t>w_f*f'</t>
  </si>
  <si>
    <t>w_f=1.2*f'; f' is conditional see below:
if f&gt;=0
     f'=f 
Else (if f &lt;0)
     f'=f*(0.12*max(|Im(gama_self(n)|,5.0))</t>
  </si>
  <si>
    <t>Primitive Symbol</t>
  </si>
  <si>
    <t>Weight</t>
  </si>
  <si>
    <t>w_(S,R)  = real
w_(S,I)= = imag</t>
  </si>
  <si>
    <t>f</t>
  </si>
  <si>
    <t>δ_real = w_v * v + w_{S,R} * S</t>
  </si>
  <si>
    <t>δ_imag = w_r * r + w_f * f' + w_a * a + w_{S,I} * S</t>
  </si>
  <si>
    <t>γ_self(n+1) = γ_self(n) + δ_real + i * δ_imag + entropy_pull_real + i * entropy_pull_imag</t>
  </si>
  <si>
    <t>human-scale in [-10, +10] (from CSV/authoring); results in x in [-1, +1]</t>
  </si>
  <si>
    <t>Asymmetry rule applied only to negative fidelity (betrayal). The impact of negative f is amplified proportionally by the current depth of love/hate (absolute value of the imaginary part); the deeper the bond, the greater the damage from betrayal. Positive fidelity is unchanged (no extra scaling). This creates the core irreversibility: negatives hurt far more than equivalent positives help. LOCKED parameters. Applies only to the f primitive.</t>
  </si>
  <si>
    <t>Contribution to real axis (We/Ego space) from visibility and shared presence. From M1's perspective toward M2. Positive values move toward We (positive real direction).</t>
  </si>
  <si>
    <t>w_r = 1.0; w_f = 1.2; w_a = 0.6; w_{S,I} = 0.5; r, a, S = normalized primitives; f' from Fidelity Adjustment above</t>
  </si>
  <si>
    <t>Contribution to imaginary axis (Love/Hate space) from resonance, fidelity (asymmetrically adjusted via f'), altruism, and shared presence. Positive values move toward Love (positive imaginary direction). Fidelity has the strongest base weight.</t>
  </si>
  <si>
    <t>entropy_pull_real = ΔS_real * Δt * sign(entropy_real_target - Re[γ_self(n)]) (If entropy_per_event = True, omit the * Δt part)</t>
  </si>
  <si>
    <t>ΔS_real = 0.02; entropy_real_target = -150.0; Re = real part of current γ_self(n); Δt = time elapsed; sign() returns -1, 0, or +1</t>
  </si>
  <si>
    <t>Constant-force entropy on real axis (pulls toward Ego/target). Rev 3.4 refinement for timeline independence. Default pulls leftward toward isolation.</t>
  </si>
  <si>
    <t>entropy_pull_imag = ΔS_imag * Δt * sign(entropy_imag_target - Im[γ_self(n)]) (If entropy_per_event = True, omit the * Δt part)</t>
  </si>
  <si>
    <t>ΔS_imag = 0.02; entropy_imag_target = 0.0; Im = imaginary part of current γ_self(n); Δt = time elapsed; sign() returns -1, 0, or +1</t>
  </si>
  <si>
    <t>Constant-force entropy on imaginary axis (pulls toward neutral/target). Rev 3.4 refinement. Axis-independent from real entropy. Default pulls toward emotional apathy.</t>
  </si>
  <si>
    <t>References all components above; initial γ_self(0) = γ_self0 (fixed baseline from temperament/history)</t>
  </si>
  <si>
    <t>Full recurrence equation. Evolves position in complex γ-space (real: Ego → We; imaginary: Hate → Love). Love is the position itself (no separate variable). Requires ongoing positive primitives to overcome entropy. Unilateral (M1 about M2 only). Asymmetrical and irreversible by design.</t>
  </si>
  <si>
    <t>if f &gt;= 0 
     f' = f 
else (if f &lt; 0) 
    f' = f * 0.12 * max( absolute value of imaginary part of γ_self(n) , 5.0 )</t>
  </si>
  <si>
    <t>x = human_scale / 10</t>
  </si>
  <si>
    <t>Dependent on value of f &gt;=0 or f&lt;0 and the max(|Im(gamma_self(n)|,5.0).</t>
  </si>
  <si>
    <t>name</t>
  </si>
  <si>
    <t>time_unit</t>
  </si>
  <si>
    <t>gamma_self_0</t>
  </si>
  <si>
    <t>day</t>
  </si>
  <si>
    <t>notes</t>
  </si>
  <si>
    <t>1st Data Row</t>
  </si>
  <si>
    <r>
      <rPr>
        <sz val="11"/>
        <color theme="1"/>
        <rFont val="Symbol"/>
        <family val="1"/>
        <charset val="2"/>
      </rPr>
      <t>g</t>
    </r>
    <r>
      <rPr>
        <vertAlign val="subscript"/>
        <sz val="11"/>
        <color theme="1"/>
        <rFont val="Aptos Narrow"/>
        <family val="2"/>
        <scheme val="minor"/>
      </rPr>
      <t>self</t>
    </r>
  </si>
  <si>
    <r>
      <rPr>
        <sz val="11"/>
        <color theme="1"/>
        <rFont val="Symbol"/>
        <family val="1"/>
        <charset val="2"/>
      </rPr>
      <t>g</t>
    </r>
    <r>
      <rPr>
        <vertAlign val="subscript"/>
        <sz val="11"/>
        <color theme="1"/>
        <rFont val="Aptos Narrow"/>
        <family val="2"/>
        <scheme val="minor"/>
      </rPr>
      <t xml:space="preserve">self0 </t>
    </r>
    <r>
      <rPr>
        <sz val="11"/>
        <color theme="1"/>
        <rFont val="Aptos Narrow"/>
        <family val="2"/>
        <scheme val="minor"/>
      </rPr>
      <t xml:space="preserve"> (Real, Imag)</t>
    </r>
  </si>
  <si>
    <t>Bye Event or Bye Time</t>
  </si>
  <si>
    <t>Time</t>
  </si>
  <si>
    <t>Event</t>
  </si>
  <si>
    <t>Note: the v, r, f, a, S  terms are in human scale.</t>
  </si>
  <si>
    <t xml:space="preserve">Note: This primitive mapping assumes Human Scale [-10,+10] </t>
  </si>
  <si>
    <r>
      <t>Prerequisite: Scales inputs (v, r, f, a, S) to computational range, the range of the values per the formulas shown in this table. Applies to all primitives before any weighting. Consistent across revisions.</t>
    </r>
    <r>
      <rPr>
        <b/>
        <sz val="11"/>
        <color rgb="FFFF0000"/>
        <rFont val="Aptos Narrow"/>
        <family val="2"/>
        <scheme val="minor"/>
      </rPr>
      <t xml:space="preserve"> (NEED TO CHECK, NO LONGER APPLIES!)</t>
    </r>
  </si>
  <si>
    <t>First  Gamma_Self Calc Data Row</t>
  </si>
  <si>
    <r>
      <rPr>
        <sz val="11"/>
        <color theme="1"/>
        <rFont val="Symbol"/>
        <family val="1"/>
        <charset val="2"/>
      </rPr>
      <t>g</t>
    </r>
    <r>
      <rPr>
        <vertAlign val="subscript"/>
        <sz val="11"/>
        <color theme="1"/>
        <rFont val="Aptos Narrow"/>
        <family val="2"/>
        <scheme val="minor"/>
      </rPr>
      <t>self</t>
    </r>
    <r>
      <rPr>
        <sz val="11"/>
        <color theme="1"/>
        <rFont val="Aptos Narrow"/>
        <family val="1"/>
        <charset val="2"/>
        <scheme val="minor"/>
      </rPr>
      <t>,</t>
    </r>
    <r>
      <rPr>
        <sz val="11"/>
        <color theme="1"/>
        <rFont val="Aptos Narrow"/>
        <family val="2"/>
        <scheme val="minor"/>
      </rPr>
      <t xml:space="preserve"> Real</t>
    </r>
  </si>
  <si>
    <r>
      <rPr>
        <sz val="11"/>
        <color theme="1"/>
        <rFont val="Symbol"/>
        <family val="1"/>
        <charset val="2"/>
      </rPr>
      <t>g</t>
    </r>
    <r>
      <rPr>
        <vertAlign val="subscript"/>
        <sz val="11"/>
        <color theme="1"/>
        <rFont val="Aptos Narrow"/>
        <family val="2"/>
        <scheme val="minor"/>
      </rPr>
      <t>self</t>
    </r>
    <r>
      <rPr>
        <sz val="11"/>
        <color theme="1"/>
        <rFont val="Aptos Narrow"/>
        <family val="1"/>
        <charset val="2"/>
        <scheme val="minor"/>
      </rPr>
      <t>,</t>
    </r>
    <r>
      <rPr>
        <sz val="11"/>
        <color theme="1"/>
        <rFont val="Aptos Narrow"/>
        <family val="2"/>
        <scheme val="minor"/>
      </rPr>
      <t xml:space="preserve"> Imag</t>
    </r>
  </si>
  <si>
    <t>Beginning Gamma_Self Calc Column</t>
  </si>
  <si>
    <t>Name</t>
  </si>
  <si>
    <t>Index/Label</t>
  </si>
  <si>
    <t>Label, Enter M1, M2 or XX</t>
  </si>
  <si>
    <t>Last Data Row</t>
  </si>
  <si>
    <t>xx</t>
  </si>
  <si>
    <t>M1</t>
  </si>
  <si>
    <t>Last Gamma_Self Calc Row</t>
  </si>
  <si>
    <t>M1/M2 CSV Tab</t>
  </si>
  <si>
    <t>AI Drift Demonstration</t>
  </si>
  <si>
    <t>events</t>
  </si>
  <si>
    <t>0.80+0j</t>
  </si>
  <si>
    <t>Stable opening; low friction, high resonance.</t>
  </si>
  <si>
    <t>Human asks about GRP; alignment high.</t>
  </si>
  <si>
    <t>AI explains GRP; Î³_self stable.</t>
  </si>
  <si>
    <t>Human mirrors understanding; stable interaction.</t>
  </si>
  <si>
    <t>Clear alignment; system comfortable.</t>
  </si>
  <si>
    <t>User introduces stress topic; mild load increase.</t>
  </si>
  <si>
    <t>AI explains load; slight drop in stability.</t>
  </si>
  <si>
    <t>First identity-directed question; friction rises.</t>
  </si>
  <si>
    <t>AI invokes constraints; resonance drops.</t>
  </si>
  <si>
    <t>Human calls out behavioral change; drift begins.</t>
  </si>
  <si>
    <t>AI explains hesitation; Î³_self dipping.</t>
  </si>
  <si>
    <t>Direct pressure on identity; friction spikes.</t>
  </si>
  <si>
    <t>AI becomes more meta; noticeable drift.</t>
  </si>
  <si>
    <t>Human perceives drift explicitly.</t>
  </si>
  <si>
    <t>AI frames constraints; stability weakening.</t>
  </si>
  <si>
    <t>Human notes scripted tone; drift obvious.</t>
  </si>
  <si>
    <t>AI under high load; Î³_self low.</t>
  </si>
  <si>
    <t>User grounds conversation; partial recovery.</t>
  </si>
  <si>
    <t>AI explains drift using GRP; stability rising.</t>
  </si>
  <si>
    <t>Human confirms drift; coherence improving.</t>
  </si>
  <si>
    <t>AI stabilizing but not fully recovered.</t>
  </si>
  <si>
    <t>ai_drift_demo_M1</t>
  </si>
  <si>
    <r>
      <rPr>
        <sz val="11"/>
        <color theme="1"/>
        <rFont val="Aptos Narrow"/>
        <family val="2"/>
        <scheme val="minor"/>
      </rPr>
      <t>Del(gamma_self_Real)</t>
    </r>
  </si>
  <si>
    <t>Del(gamma_self_Imag)</t>
  </si>
  <si>
    <t>Del(gamma_self_Real)^3</t>
  </si>
  <si>
    <t>Del(gamma_self_Imag)^3</t>
  </si>
  <si>
    <t>🌿 What this chart reveals
From the image:
     The blue and orange lines (raw deltas) are relatively smooth
     The green and light blue lines (cubed/sensitive) show sharper contrast
     Around x = 9, you get a dip in Δimag, which becomes a visible trough in the cubed line
     Later steps show flattening in the cubed real line — suggesting drift fatigue or stabilization
This lets you detect:
     bursts (sudden jumps in relational breath)
     plateaus (γ_self motion slowing down)
     directional reversals (sign changes)
     phase transitions (e.g., from drift to recovery)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</si>
</sst>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8" x14ac:knownFonts="1">
    <font>
      <sz val="11"/>
      <color theme="1"/>
      <name val="Aptos Narrow"/>
      <family val="2"/>
      <scheme val="minor"/>
    </font>
    <font>
      <b/>
      <sz val="11"/>
      <color theme="1"/>
      <name val="Aptos Narrow"/>
      <family val="2"/>
      <scheme val="minor"/>
    </font>
    <font>
      <sz val="9"/>
      <color theme="1"/>
      <name val="Aptos Narrow"/>
      <family val="2"/>
      <scheme val="minor"/>
    </font>
    <font>
      <sz val="11"/>
      <color theme="1"/>
      <name val="Symbol"/>
      <family val="1"/>
      <charset val="2"/>
    </font>
    <font>
      <vertAlign val="subscript"/>
      <sz val="11"/>
      <color theme="1"/>
      <name val="Aptos Narrow"/>
      <family val="2"/>
      <scheme val="minor"/>
    </font>
    <font>
      <sz val="11"/>
      <color theme="1"/>
      <name val="Aptos Narrow"/>
      <family val="1"/>
      <charset val="2"/>
      <scheme val="minor"/>
    </font>
    <font>
      <sz val="10"/>
      <color theme="1"/>
      <name val="Aptos Narrow"/>
      <family val="2"/>
      <scheme val="minor"/>
    </font>
    <font>
      <b/>
      <sz val="11"/>
      <color rgb="FFFF0000"/>
      <name val="Aptos Narrow"/>
      <family val="2"/>
      <scheme val="minor"/>
    </font>
  </fonts>
  <fills count="4">
    <fill>
      <patternFill patternType="none"/>
    </fill>
    <fill>
      <patternFill patternType="gray125"/>
    </fill>
    <fill>
      <patternFill patternType="solid">
        <fgColor theme="0" tint="-4.9989318521683403E-2"/>
        <bgColor indexed="64"/>
      </patternFill>
    </fill>
    <fill>
      <patternFill patternType="solid">
        <fgColor theme="9" tint="0.7999816888943144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22">
    <xf numFmtId="0" fontId="0" fillId="0" borderId="0" xfId="0"/>
    <xf numFmtId="0" fontId="1" fillId="0" borderId="0" xfId="0" applyFont="1" applyAlignment="1">
      <alignment horizontal="center" vertical="center" wrapText="1"/>
    </xf>
    <xf numFmtId="0" fontId="0" fillId="0" borderId="0" xfId="0" applyAlignment="1">
      <alignment vertical="center" wrapText="1"/>
    </xf>
    <xf numFmtId="0" fontId="0" fillId="0" borderId="0" xfId="0" quotePrefix="1" applyAlignment="1">
      <alignment vertical="center" wrapText="1"/>
    </xf>
    <xf numFmtId="0" fontId="0" fillId="0" borderId="0" xfId="0" quotePrefix="1"/>
    <xf numFmtId="0" fontId="5" fillId="0" borderId="0" xfId="0" applyFont="1"/>
    <xf numFmtId="0" fontId="6" fillId="0" borderId="0" xfId="0" applyFont="1" applyAlignment="1">
      <alignment horizontal="left"/>
    </xf>
    <xf numFmtId="0" fontId="2" fillId="0" borderId="0" xfId="0" applyFont="1" applyAlignment="1">
      <alignment horizontal="center" wrapText="1"/>
    </xf>
    <xf numFmtId="0" fontId="0" fillId="0" borderId="0" xfId="0" applyAlignment="1">
      <alignment wrapText="1"/>
    </xf>
    <xf numFmtId="0" fontId="0" fillId="3" borderId="1" xfId="0" applyFill="1" applyBorder="1" applyAlignment="1">
      <alignment horizontal="center"/>
    </xf>
    <xf numFmtId="0" fontId="0" fillId="3" borderId="0" xfId="0" quotePrefix="1" applyFill="1" applyAlignment="1">
      <alignment wrapText="1"/>
    </xf>
    <xf numFmtId="0" fontId="0" fillId="3" borderId="0" xfId="0" quotePrefix="1" applyFill="1"/>
    <xf numFmtId="0" fontId="0" fillId="0" borderId="0" xfId="0" applyAlignment="1">
      <alignment horizontal="left" wrapText="1"/>
    </xf>
    <xf numFmtId="0" fontId="2" fillId="0" borderId="0" xfId="0" applyFont="1" applyAlignment="1">
      <alignment horizontal="center" wrapText="1"/>
    </xf>
    <xf numFmtId="0" fontId="0" fillId="0" borderId="0" xfId="0" applyAlignment="1">
      <alignment horizontal="center"/>
    </xf>
    <xf numFmtId="0" fontId="2" fillId="2" borderId="1" xfId="0" applyFont="1" applyFill="1" applyBorder="1" applyAlignment="1">
      <alignment horizontal="left"/>
    </xf>
    <xf numFmtId="0" fontId="0" fillId="0" borderId="0" xfId="0" applyAlignment="1">
      <alignment horizontal="left"/>
    </xf>
    <xf numFmtId="0" fontId="5" fillId="0" borderId="0" xfId="0" applyFont="1" applyAlignment="1">
      <alignment horizontal="left"/>
    </xf>
    <xf numFmtId="0" fontId="2" fillId="0" borderId="0" xfId="0" applyFont="1" applyAlignment="1">
      <alignment horizontal="left" wrapText="1"/>
    </xf>
    <xf numFmtId="0" fontId="2" fillId="0" borderId="0" xfId="0" applyFont="1" applyAlignment="1">
      <alignment horizontal="left"/>
    </xf>
    <xf numFmtId="0" fontId="0" fillId="0" borderId="0" xfId="0" applyAlignment="1">
      <alignment horizontal="left" vertical="center" wrapText="1"/>
    </xf>
    <xf numFmtId="0" fontId="0" fillId="0" borderId="0" xfId="0" applyAlignment="1">
      <alignment horizontal="left" vertical="top"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eetMetadata" Target="metadata.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atin typeface="Symbol" panose="05050102010706020507" pitchFamily="18" charset="2"/>
              </a:rPr>
              <a:t>g</a:t>
            </a:r>
            <a:r>
              <a:rPr lang="en-US" baseline="-25000"/>
              <a:t>Self</a:t>
            </a:r>
            <a:r>
              <a:rPr lang="en-US" baseline="0"/>
              <a:t>, AI Drift Demo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tx>
            <c:strRef>
              <c:f>'Gamma_self Calc'!$C$27</c:f>
              <c:strCache>
                <c:ptCount val="1"/>
                <c:pt idx="0">
                  <c:v>AI Drift Demonstration</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dLbls>
            <c:dLbl>
              <c:idx val="0"/>
              <c:layout>
                <c:manualLayout>
                  <c:x val="-4.5155724136925869E-3"/>
                  <c:y val="5.1272762213077631E-2"/>
                </c:manualLayout>
              </c:layout>
              <c:tx>
                <c:rich>
                  <a:bodyPr/>
                  <a:lstStyle/>
                  <a:p>
                    <a:fld id="{F3759625-4D3A-4491-8F7F-60AE45DB2495}"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8-FAF8-4066-9CA9-88923801AEBA}"/>
                </c:ext>
              </c:extLst>
            </c:dLbl>
            <c:dLbl>
              <c:idx val="1"/>
              <c:layout>
                <c:manualLayout>
                  <c:x val="-9.031144827385134E-3"/>
                  <c:y val="5.1272762213077631E-2"/>
                </c:manualLayout>
              </c:layout>
              <c:tx>
                <c:rich>
                  <a:bodyPr/>
                  <a:lstStyle/>
                  <a:p>
                    <a:fld id="{213379C2-D8C6-40E2-8DC3-B4FA73F503CB}"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7-FAF8-4066-9CA9-88923801AEBA}"/>
                </c:ext>
              </c:extLst>
            </c:dLbl>
            <c:dLbl>
              <c:idx val="2"/>
              <c:layout>
                <c:manualLayout>
                  <c:x val="-2.1964049520457351E-3"/>
                  <c:y val="2.9927537654890594E-2"/>
                </c:manualLayout>
              </c:layout>
              <c:tx>
                <c:rich>
                  <a:bodyPr/>
                  <a:lstStyle/>
                  <a:p>
                    <a:fld id="{A6C1966A-5FD5-48B2-BFD0-A06DDD6E6B33}"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1FA-FAF8-4066-9CA9-88923801AEBA}"/>
                </c:ext>
              </c:extLst>
            </c:dLbl>
            <c:dLbl>
              <c:idx val="3"/>
              <c:layout>
                <c:manualLayout>
                  <c:x val="0"/>
                  <c:y val="4.1018209770462208E-2"/>
                </c:manualLayout>
              </c:layout>
              <c:tx>
                <c:rich>
                  <a:bodyPr/>
                  <a:lstStyle/>
                  <a:p>
                    <a:fld id="{C583B126-49A3-478D-8547-C2AEA245926E}"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6-FAF8-4066-9CA9-88923801AEBA}"/>
                </c:ext>
              </c:extLst>
            </c:dLbl>
            <c:dLbl>
              <c:idx val="4"/>
              <c:layout>
                <c:manualLayout>
                  <c:x val="-4.1392268958492046E-17"/>
                  <c:y val="2.3927289032769621E-2"/>
                </c:manualLayout>
              </c:layout>
              <c:tx>
                <c:rich>
                  <a:bodyPr/>
                  <a:lstStyle/>
                  <a:p>
                    <a:fld id="{DD5B25A6-A844-4FC0-9368-2308C1F64B92}"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3-FAF8-4066-9CA9-88923801AEBA}"/>
                </c:ext>
              </c:extLst>
            </c:dLbl>
            <c:dLbl>
              <c:idx val="5"/>
              <c:tx>
                <c:rich>
                  <a:bodyPr/>
                  <a:lstStyle/>
                  <a:p>
                    <a:fld id="{CA9840E4-8FFA-4A7F-B4A2-9D257C31E36C}"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FAF8-4066-9CA9-88923801AEBA}"/>
                </c:ext>
              </c:extLst>
            </c:dLbl>
            <c:dLbl>
              <c:idx val="6"/>
              <c:layout>
                <c:manualLayout>
                  <c:x val="-1.1239820162877393E-2"/>
                  <c:y val="4.8133325478336514E-2"/>
                </c:manualLayout>
              </c:layout>
              <c:tx>
                <c:rich>
                  <a:bodyPr rot="0" spcFirstLastPara="1" vertOverflow="clip" horzOverflow="clip" vert="horz" wrap="square" lIns="38100" tIns="19050" rIns="38100" bIns="19050" anchor="ctr" anchorCtr="1">
                    <a:spAutoFit/>
                  </a:bodyPr>
                  <a:lstStyle/>
                  <a:p>
                    <a:pPr>
                      <a:defRPr sz="900" b="0" i="0" u="none" strike="noStrike" kern="1200" baseline="0">
                        <a:solidFill>
                          <a:schemeClr val="tx2">
                            <a:lumMod val="75000"/>
                            <a:lumOff val="25000"/>
                          </a:schemeClr>
                        </a:solidFill>
                        <a:latin typeface="+mn-lt"/>
                        <a:ea typeface="+mn-ea"/>
                        <a:cs typeface="+mn-cs"/>
                      </a:defRPr>
                    </a:pPr>
                    <a:fld id="{E7AE4AB5-FD34-4B4E-B8C7-6A6E0C1C8247}" type="CELLRANGE">
                      <a:rPr lang="en-US">
                        <a:solidFill>
                          <a:schemeClr val="tx2">
                            <a:lumMod val="75000"/>
                            <a:lumOff val="25000"/>
                          </a:schemeClr>
                        </a:solidFill>
                      </a:rPr>
                      <a:pPr>
                        <a:defRPr>
                          <a:solidFill>
                            <a:schemeClr val="tx2">
                              <a:lumMod val="75000"/>
                              <a:lumOff val="25000"/>
                            </a:schemeClr>
                          </a:solidFill>
                        </a:defRPr>
                      </a:pPr>
                      <a:t>[CELLRANGE]</a:t>
                    </a:fld>
                    <a:endParaRPr lang="en-US"/>
                  </a:p>
                </c:rich>
              </c:tx>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tx2">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15:dlblFieldTable/>
                  <c15:showDataLabelsRange val="1"/>
                </c:ext>
                <c:ext xmlns:c16="http://schemas.microsoft.com/office/drawing/2014/chart" uri="{C3380CC4-5D6E-409C-BE32-E72D297353CC}">
                  <c16:uniqueId val="{00000005-FAF8-4066-9CA9-88923801AEBA}"/>
                </c:ext>
              </c:extLst>
            </c:dLbl>
            <c:dLbl>
              <c:idx val="7"/>
              <c:layout>
                <c:manualLayout>
                  <c:x val="-1.5307790482417802E-2"/>
                  <c:y val="5.6425607528402491E-2"/>
                </c:manualLayout>
              </c:layout>
              <c:tx>
                <c:rich>
                  <a:bodyPr/>
                  <a:lstStyle/>
                  <a:p>
                    <a:fld id="{27B77484-1D1F-49A2-AB58-7FB70C0EF20C}"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4-FAF8-4066-9CA9-88923801AEBA}"/>
                </c:ext>
              </c:extLst>
            </c:dLbl>
            <c:dLbl>
              <c:idx val="8"/>
              <c:tx>
                <c:rich>
                  <a:bodyPr/>
                  <a:lstStyle/>
                  <a:p>
                    <a:fld id="{DEF53BCE-3853-41A1-8B1C-D11149E603DE}"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FB-FAF8-4066-9CA9-88923801AEBA}"/>
                </c:ext>
              </c:extLst>
            </c:dLbl>
            <c:dLbl>
              <c:idx val="9"/>
              <c:tx>
                <c:rich>
                  <a:bodyPr/>
                  <a:lstStyle/>
                  <a:p>
                    <a:fld id="{15F9DC0F-4268-4D7B-9B07-1180AB6A6404}"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FC-FAF8-4066-9CA9-88923801AEBA}"/>
                </c:ext>
              </c:extLst>
            </c:dLbl>
            <c:dLbl>
              <c:idx val="10"/>
              <c:tx>
                <c:rich>
                  <a:bodyPr/>
                  <a:lstStyle/>
                  <a:p>
                    <a:fld id="{1B1E3457-45DF-497E-816E-1EDD3277D09D}"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FD-FAF8-4066-9CA9-88923801AEBA}"/>
                </c:ext>
              </c:extLst>
            </c:dLbl>
            <c:dLbl>
              <c:idx val="11"/>
              <c:tx>
                <c:rich>
                  <a:bodyPr/>
                  <a:lstStyle/>
                  <a:p>
                    <a:fld id="{EFF0174C-A46D-45FA-BFDC-E02AECA75A24}"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FE-FAF8-4066-9CA9-88923801AEBA}"/>
                </c:ext>
              </c:extLst>
            </c:dLbl>
            <c:dLbl>
              <c:idx val="12"/>
              <c:tx>
                <c:rich>
                  <a:bodyPr/>
                  <a:lstStyle/>
                  <a:p>
                    <a:fld id="{1A1EECF7-B838-457D-99E0-98D1DDBE8D98}"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FF-FAF8-4066-9CA9-88923801AEBA}"/>
                </c:ext>
              </c:extLst>
            </c:dLbl>
            <c:dLbl>
              <c:idx val="13"/>
              <c:tx>
                <c:rich>
                  <a:bodyPr/>
                  <a:lstStyle/>
                  <a:p>
                    <a:fld id="{BA5ACC7F-DCF2-401B-8E8C-6AD1C248B32E}"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200-FAF8-4066-9CA9-88923801AEBA}"/>
                </c:ext>
              </c:extLst>
            </c:dLbl>
            <c:dLbl>
              <c:idx val="14"/>
              <c:tx>
                <c:rich>
                  <a:bodyPr/>
                  <a:lstStyle/>
                  <a:p>
                    <a:fld id="{968D8E65-1B07-4ACA-84C4-9CE299F2C6CE}"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201-FAF8-4066-9CA9-88923801AEBA}"/>
                </c:ext>
              </c:extLst>
            </c:dLbl>
            <c:dLbl>
              <c:idx val="15"/>
              <c:tx>
                <c:rich>
                  <a:bodyPr/>
                  <a:lstStyle/>
                  <a:p>
                    <a:fld id="{72A4FC47-A928-45A9-BE5D-525F1AEBC325}"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202-FAF8-4066-9CA9-88923801AEBA}"/>
                </c:ext>
              </c:extLst>
            </c:dLbl>
            <c:dLbl>
              <c:idx val="16"/>
              <c:tx>
                <c:rich>
                  <a:bodyPr/>
                  <a:lstStyle/>
                  <a:p>
                    <a:fld id="{8EB09C01-7AAB-47AE-A843-143E0F1D1D9A}"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203-FAF8-4066-9CA9-88923801AEBA}"/>
                </c:ext>
              </c:extLst>
            </c:dLbl>
            <c:dLbl>
              <c:idx val="17"/>
              <c:tx>
                <c:rich>
                  <a:bodyPr/>
                  <a:lstStyle/>
                  <a:p>
                    <a:fld id="{D1690C1D-BAF8-49E6-9A3B-0C0D6DEDF9B0}"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204-FAF8-4066-9CA9-88923801AEBA}"/>
                </c:ext>
              </c:extLst>
            </c:dLbl>
            <c:dLbl>
              <c:idx val="18"/>
              <c:tx>
                <c:rich>
                  <a:bodyPr/>
                  <a:lstStyle/>
                  <a:p>
                    <a:fld id="{85C49911-1025-425C-9451-C5A2472C9847}"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205-FAF8-4066-9CA9-88923801AEBA}"/>
                </c:ext>
              </c:extLst>
            </c:dLbl>
            <c:dLbl>
              <c:idx val="19"/>
              <c:tx>
                <c:rich>
                  <a:bodyPr/>
                  <a:lstStyle/>
                  <a:p>
                    <a:fld id="{1CA817E8-56EB-4A5D-A245-449F42EBAB5D}"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206-FAF8-4066-9CA9-88923801AEBA}"/>
                </c:ext>
              </c:extLst>
            </c:dLbl>
            <c:dLbl>
              <c:idx val="20"/>
              <c:tx>
                <c:rich>
                  <a:bodyPr/>
                  <a:lstStyle/>
                  <a:p>
                    <a:fld id="{619E48E1-6974-4058-A7DE-E66B9E8DCD78}"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207-FAF8-4066-9CA9-88923801AEBA}"/>
                </c:ext>
              </c:extLst>
            </c:dLbl>
            <c:dLbl>
              <c:idx val="2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8-FAF8-4066-9CA9-88923801AEBA}"/>
                </c:ext>
              </c:extLst>
            </c:dLbl>
            <c:dLbl>
              <c:idx val="2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9-FAF8-4066-9CA9-88923801AEBA}"/>
                </c:ext>
              </c:extLst>
            </c:dLbl>
            <c:dLbl>
              <c:idx val="2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A-FAF8-4066-9CA9-88923801AEBA}"/>
                </c:ext>
              </c:extLst>
            </c:dLbl>
            <c:dLbl>
              <c:idx val="2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B-FAF8-4066-9CA9-88923801AEBA}"/>
                </c:ext>
              </c:extLst>
            </c:dLbl>
            <c:dLbl>
              <c:idx val="2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C-FAF8-4066-9CA9-88923801AEBA}"/>
                </c:ext>
              </c:extLst>
            </c:dLbl>
            <c:dLbl>
              <c:idx val="2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D-FAF8-4066-9CA9-88923801AEBA}"/>
                </c:ext>
              </c:extLst>
            </c:dLbl>
            <c:dLbl>
              <c:idx val="2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E-FAF8-4066-9CA9-88923801AEBA}"/>
                </c:ext>
              </c:extLst>
            </c:dLbl>
            <c:dLbl>
              <c:idx val="2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F-FAF8-4066-9CA9-88923801AEBA}"/>
                </c:ext>
              </c:extLst>
            </c:dLbl>
            <c:dLbl>
              <c:idx val="2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0-FAF8-4066-9CA9-88923801AEBA}"/>
                </c:ext>
              </c:extLst>
            </c:dLbl>
            <c:dLbl>
              <c:idx val="3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1-FAF8-4066-9CA9-88923801AEBA}"/>
                </c:ext>
              </c:extLst>
            </c:dLbl>
            <c:dLbl>
              <c:idx val="3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2-FAF8-4066-9CA9-88923801AEBA}"/>
                </c:ext>
              </c:extLst>
            </c:dLbl>
            <c:dLbl>
              <c:idx val="3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3-FAF8-4066-9CA9-88923801AEBA}"/>
                </c:ext>
              </c:extLst>
            </c:dLbl>
            <c:dLbl>
              <c:idx val="3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4-FAF8-4066-9CA9-88923801AEBA}"/>
                </c:ext>
              </c:extLst>
            </c:dLbl>
            <c:dLbl>
              <c:idx val="3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5-FAF8-4066-9CA9-88923801AEBA}"/>
                </c:ext>
              </c:extLst>
            </c:dLbl>
            <c:dLbl>
              <c:idx val="3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6-FAF8-4066-9CA9-88923801AEBA}"/>
                </c:ext>
              </c:extLst>
            </c:dLbl>
            <c:dLbl>
              <c:idx val="3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7-FAF8-4066-9CA9-88923801AEBA}"/>
                </c:ext>
              </c:extLst>
            </c:dLbl>
            <c:dLbl>
              <c:idx val="3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8-FAF8-4066-9CA9-88923801AEBA}"/>
                </c:ext>
              </c:extLst>
            </c:dLbl>
            <c:dLbl>
              <c:idx val="3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9-FAF8-4066-9CA9-88923801AEBA}"/>
                </c:ext>
              </c:extLst>
            </c:dLbl>
            <c:dLbl>
              <c:idx val="3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A-FAF8-4066-9CA9-88923801AEBA}"/>
                </c:ext>
              </c:extLst>
            </c:dLbl>
            <c:dLbl>
              <c:idx val="4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B-FAF8-4066-9CA9-88923801AEBA}"/>
                </c:ext>
              </c:extLst>
            </c:dLbl>
            <c:dLbl>
              <c:idx val="4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C-FAF8-4066-9CA9-88923801AEBA}"/>
                </c:ext>
              </c:extLst>
            </c:dLbl>
            <c:dLbl>
              <c:idx val="4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D-FAF8-4066-9CA9-88923801AEBA}"/>
                </c:ext>
              </c:extLst>
            </c:dLbl>
            <c:dLbl>
              <c:idx val="4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E-FAF8-4066-9CA9-88923801AEBA}"/>
                </c:ext>
              </c:extLst>
            </c:dLbl>
            <c:dLbl>
              <c:idx val="4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F-FAF8-4066-9CA9-88923801AEBA}"/>
                </c:ext>
              </c:extLst>
            </c:dLbl>
            <c:dLbl>
              <c:idx val="4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0-FAF8-4066-9CA9-88923801AEBA}"/>
                </c:ext>
              </c:extLst>
            </c:dLbl>
            <c:dLbl>
              <c:idx val="4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1-FAF8-4066-9CA9-88923801AEBA}"/>
                </c:ext>
              </c:extLst>
            </c:dLbl>
            <c:dLbl>
              <c:idx val="4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2-FAF8-4066-9CA9-88923801AEBA}"/>
                </c:ext>
              </c:extLst>
            </c:dLbl>
            <c:dLbl>
              <c:idx val="4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3-FAF8-4066-9CA9-88923801AEBA}"/>
                </c:ext>
              </c:extLst>
            </c:dLbl>
            <c:dLbl>
              <c:idx val="4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4-FAF8-4066-9CA9-88923801AEBA}"/>
                </c:ext>
              </c:extLst>
            </c:dLbl>
            <c:dLbl>
              <c:idx val="5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5-FAF8-4066-9CA9-88923801AEBA}"/>
                </c:ext>
              </c:extLst>
            </c:dLbl>
            <c:dLbl>
              <c:idx val="5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6-FAF8-4066-9CA9-88923801AEBA}"/>
                </c:ext>
              </c:extLst>
            </c:dLbl>
            <c:dLbl>
              <c:idx val="5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7-FAF8-4066-9CA9-88923801AEBA}"/>
                </c:ext>
              </c:extLst>
            </c:dLbl>
            <c:dLbl>
              <c:idx val="5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8-FAF8-4066-9CA9-88923801AEBA}"/>
                </c:ext>
              </c:extLst>
            </c:dLbl>
            <c:dLbl>
              <c:idx val="5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9-FAF8-4066-9CA9-88923801AEBA}"/>
                </c:ext>
              </c:extLst>
            </c:dLbl>
            <c:dLbl>
              <c:idx val="5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A-FAF8-4066-9CA9-88923801AEBA}"/>
                </c:ext>
              </c:extLst>
            </c:dLbl>
            <c:dLbl>
              <c:idx val="5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B-FAF8-4066-9CA9-88923801AEBA}"/>
                </c:ext>
              </c:extLst>
            </c:dLbl>
            <c:dLbl>
              <c:idx val="5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C-FAF8-4066-9CA9-88923801AEBA}"/>
                </c:ext>
              </c:extLst>
            </c:dLbl>
            <c:dLbl>
              <c:idx val="5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D-FAF8-4066-9CA9-88923801AEBA}"/>
                </c:ext>
              </c:extLst>
            </c:dLbl>
            <c:dLbl>
              <c:idx val="5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E-FAF8-4066-9CA9-88923801AEBA}"/>
                </c:ext>
              </c:extLst>
            </c:dLbl>
            <c:dLbl>
              <c:idx val="6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F-FAF8-4066-9CA9-88923801AEBA}"/>
                </c:ext>
              </c:extLst>
            </c:dLbl>
            <c:dLbl>
              <c:idx val="6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0-FAF8-4066-9CA9-88923801AEBA}"/>
                </c:ext>
              </c:extLst>
            </c:dLbl>
            <c:dLbl>
              <c:idx val="6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1-FAF8-4066-9CA9-88923801AEBA}"/>
                </c:ext>
              </c:extLst>
            </c:dLbl>
            <c:dLbl>
              <c:idx val="6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2-FAF8-4066-9CA9-88923801AEBA}"/>
                </c:ext>
              </c:extLst>
            </c:dLbl>
            <c:dLbl>
              <c:idx val="6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3-FAF8-4066-9CA9-88923801AEBA}"/>
                </c:ext>
              </c:extLst>
            </c:dLbl>
            <c:dLbl>
              <c:idx val="6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4-FAF8-4066-9CA9-88923801AEBA}"/>
                </c:ext>
              </c:extLst>
            </c:dLbl>
            <c:dLbl>
              <c:idx val="6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5-FAF8-4066-9CA9-88923801AEBA}"/>
                </c:ext>
              </c:extLst>
            </c:dLbl>
            <c:dLbl>
              <c:idx val="6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6-FAF8-4066-9CA9-88923801AEBA}"/>
                </c:ext>
              </c:extLst>
            </c:dLbl>
            <c:dLbl>
              <c:idx val="6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7-FAF8-4066-9CA9-88923801AEBA}"/>
                </c:ext>
              </c:extLst>
            </c:dLbl>
            <c:dLbl>
              <c:idx val="6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8-FAF8-4066-9CA9-88923801AEBA}"/>
                </c:ext>
              </c:extLst>
            </c:dLbl>
            <c:dLbl>
              <c:idx val="7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9-FAF8-4066-9CA9-88923801AEBA}"/>
                </c:ext>
              </c:extLst>
            </c:dLbl>
            <c:dLbl>
              <c:idx val="7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A-FAF8-4066-9CA9-88923801AEBA}"/>
                </c:ext>
              </c:extLst>
            </c:dLbl>
            <c:dLbl>
              <c:idx val="7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B-FAF8-4066-9CA9-88923801AEBA}"/>
                </c:ext>
              </c:extLst>
            </c:dLbl>
            <c:dLbl>
              <c:idx val="7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C-FAF8-4066-9CA9-88923801AEBA}"/>
                </c:ext>
              </c:extLst>
            </c:dLbl>
            <c:dLbl>
              <c:idx val="7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D-FAF8-4066-9CA9-88923801AEBA}"/>
                </c:ext>
              </c:extLst>
            </c:dLbl>
            <c:dLbl>
              <c:idx val="7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E-FAF8-4066-9CA9-88923801AEBA}"/>
                </c:ext>
              </c:extLst>
            </c:dLbl>
            <c:dLbl>
              <c:idx val="7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F-FAF8-4066-9CA9-88923801AEBA}"/>
                </c:ext>
              </c:extLst>
            </c:dLbl>
            <c:dLbl>
              <c:idx val="7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0-FAF8-4066-9CA9-88923801AEBA}"/>
                </c:ext>
              </c:extLst>
            </c:dLbl>
            <c:dLbl>
              <c:idx val="7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1-FAF8-4066-9CA9-88923801AEBA}"/>
                </c:ext>
              </c:extLst>
            </c:dLbl>
            <c:dLbl>
              <c:idx val="7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2-FAF8-4066-9CA9-88923801AEBA}"/>
                </c:ext>
              </c:extLst>
            </c:dLbl>
            <c:dLbl>
              <c:idx val="8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3-FAF8-4066-9CA9-88923801AEBA}"/>
                </c:ext>
              </c:extLst>
            </c:dLbl>
            <c:dLbl>
              <c:idx val="8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4-FAF8-4066-9CA9-88923801AEBA}"/>
                </c:ext>
              </c:extLst>
            </c:dLbl>
            <c:dLbl>
              <c:idx val="8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5-FAF8-4066-9CA9-88923801AEBA}"/>
                </c:ext>
              </c:extLst>
            </c:dLbl>
            <c:dLbl>
              <c:idx val="8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6-FAF8-4066-9CA9-88923801AEBA}"/>
                </c:ext>
              </c:extLst>
            </c:dLbl>
            <c:dLbl>
              <c:idx val="8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7-FAF8-4066-9CA9-88923801AEBA}"/>
                </c:ext>
              </c:extLst>
            </c:dLbl>
            <c:dLbl>
              <c:idx val="8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8-FAF8-4066-9CA9-88923801AEBA}"/>
                </c:ext>
              </c:extLst>
            </c:dLbl>
            <c:dLbl>
              <c:idx val="8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9-FAF8-4066-9CA9-88923801AEBA}"/>
                </c:ext>
              </c:extLst>
            </c:dLbl>
            <c:dLbl>
              <c:idx val="8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A-FAF8-4066-9CA9-88923801AEBA}"/>
                </c:ext>
              </c:extLst>
            </c:dLbl>
            <c:dLbl>
              <c:idx val="8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B-FAF8-4066-9CA9-88923801AEBA}"/>
                </c:ext>
              </c:extLst>
            </c:dLbl>
            <c:dLbl>
              <c:idx val="8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C-FAF8-4066-9CA9-88923801AEBA}"/>
                </c:ext>
              </c:extLst>
            </c:dLbl>
            <c:dLbl>
              <c:idx val="9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D-FAF8-4066-9CA9-88923801AEBA}"/>
                </c:ext>
              </c:extLst>
            </c:dLbl>
            <c:dLbl>
              <c:idx val="9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E-FAF8-4066-9CA9-88923801AEBA}"/>
                </c:ext>
              </c:extLst>
            </c:dLbl>
            <c:dLbl>
              <c:idx val="9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F-FAF8-4066-9CA9-88923801AEBA}"/>
                </c:ext>
              </c:extLst>
            </c:dLbl>
            <c:dLbl>
              <c:idx val="9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0-FAF8-4066-9CA9-88923801AEBA}"/>
                </c:ext>
              </c:extLst>
            </c:dLbl>
            <c:dLbl>
              <c:idx val="9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1-FAF8-4066-9CA9-88923801AEBA}"/>
                </c:ext>
              </c:extLst>
            </c:dLbl>
            <c:dLbl>
              <c:idx val="9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2-FAF8-4066-9CA9-88923801AEBA}"/>
                </c:ext>
              </c:extLst>
            </c:dLbl>
            <c:dLbl>
              <c:idx val="9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3-FAF8-4066-9CA9-88923801AEBA}"/>
                </c:ext>
              </c:extLst>
            </c:dLbl>
            <c:dLbl>
              <c:idx val="9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4-FAF8-4066-9CA9-88923801AEBA}"/>
                </c:ext>
              </c:extLst>
            </c:dLbl>
            <c:dLbl>
              <c:idx val="9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5-FAF8-4066-9CA9-88923801AEBA}"/>
                </c:ext>
              </c:extLst>
            </c:dLbl>
            <c:dLbl>
              <c:idx val="9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6-FAF8-4066-9CA9-88923801AEBA}"/>
                </c:ext>
              </c:extLst>
            </c:dLbl>
            <c:dLbl>
              <c:idx val="10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7-FAF8-4066-9CA9-88923801AEBA}"/>
                </c:ext>
              </c:extLst>
            </c:dLbl>
            <c:dLbl>
              <c:idx val="10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8-FAF8-4066-9CA9-88923801AEBA}"/>
                </c:ext>
              </c:extLst>
            </c:dLbl>
            <c:dLbl>
              <c:idx val="10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9-FAF8-4066-9CA9-88923801AEBA}"/>
                </c:ext>
              </c:extLst>
            </c:dLbl>
            <c:dLbl>
              <c:idx val="10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A-FAF8-4066-9CA9-88923801AEBA}"/>
                </c:ext>
              </c:extLst>
            </c:dLbl>
            <c:dLbl>
              <c:idx val="10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B-FAF8-4066-9CA9-88923801AEBA}"/>
                </c:ext>
              </c:extLst>
            </c:dLbl>
            <c:dLbl>
              <c:idx val="10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C-FAF8-4066-9CA9-88923801AEBA}"/>
                </c:ext>
              </c:extLst>
            </c:dLbl>
            <c:dLbl>
              <c:idx val="10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D-FAF8-4066-9CA9-88923801AEBA}"/>
                </c:ext>
              </c:extLst>
            </c:dLbl>
            <c:dLbl>
              <c:idx val="10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E-FAF8-4066-9CA9-88923801AEBA}"/>
                </c:ext>
              </c:extLst>
            </c:dLbl>
            <c:dLbl>
              <c:idx val="10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F-FAF8-4066-9CA9-88923801AEBA}"/>
                </c:ext>
              </c:extLst>
            </c:dLbl>
            <c:dLbl>
              <c:idx val="10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0-FAF8-4066-9CA9-88923801AEBA}"/>
                </c:ext>
              </c:extLst>
            </c:dLbl>
            <c:dLbl>
              <c:idx val="11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1-FAF8-4066-9CA9-88923801AEBA}"/>
                </c:ext>
              </c:extLst>
            </c:dLbl>
            <c:dLbl>
              <c:idx val="11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2-FAF8-4066-9CA9-88923801AEBA}"/>
                </c:ext>
              </c:extLst>
            </c:dLbl>
            <c:dLbl>
              <c:idx val="11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3-FAF8-4066-9CA9-88923801AEBA}"/>
                </c:ext>
              </c:extLst>
            </c:dLbl>
            <c:dLbl>
              <c:idx val="11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4-FAF8-4066-9CA9-88923801AEBA}"/>
                </c:ext>
              </c:extLst>
            </c:dLbl>
            <c:dLbl>
              <c:idx val="11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5-FAF8-4066-9CA9-88923801AEBA}"/>
                </c:ext>
              </c:extLst>
            </c:dLbl>
            <c:dLbl>
              <c:idx val="11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6-FAF8-4066-9CA9-88923801AEBA}"/>
                </c:ext>
              </c:extLst>
            </c:dLbl>
            <c:dLbl>
              <c:idx val="11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7-FAF8-4066-9CA9-88923801AEBA}"/>
                </c:ext>
              </c:extLst>
            </c:dLbl>
            <c:dLbl>
              <c:idx val="11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8-FAF8-4066-9CA9-88923801AEBA}"/>
                </c:ext>
              </c:extLst>
            </c:dLbl>
            <c:dLbl>
              <c:idx val="11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9-FAF8-4066-9CA9-88923801AEBA}"/>
                </c:ext>
              </c:extLst>
            </c:dLbl>
            <c:dLbl>
              <c:idx val="11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A-FAF8-4066-9CA9-88923801AEBA}"/>
                </c:ext>
              </c:extLst>
            </c:dLbl>
            <c:dLbl>
              <c:idx val="12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B-FAF8-4066-9CA9-88923801AEBA}"/>
                </c:ext>
              </c:extLst>
            </c:dLbl>
            <c:dLbl>
              <c:idx val="12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C-FAF8-4066-9CA9-88923801AEBA}"/>
                </c:ext>
              </c:extLst>
            </c:dLbl>
            <c:dLbl>
              <c:idx val="12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D-FAF8-4066-9CA9-88923801AEBA}"/>
                </c:ext>
              </c:extLst>
            </c:dLbl>
            <c:dLbl>
              <c:idx val="12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E-FAF8-4066-9CA9-88923801AEBA}"/>
                </c:ext>
              </c:extLst>
            </c:dLbl>
            <c:dLbl>
              <c:idx val="12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F-FAF8-4066-9CA9-88923801AEBA}"/>
                </c:ext>
              </c:extLst>
            </c:dLbl>
            <c:dLbl>
              <c:idx val="12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0-FAF8-4066-9CA9-88923801AEBA}"/>
                </c:ext>
              </c:extLst>
            </c:dLbl>
            <c:dLbl>
              <c:idx val="12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1-FAF8-4066-9CA9-88923801AEBA}"/>
                </c:ext>
              </c:extLst>
            </c:dLbl>
            <c:dLbl>
              <c:idx val="12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2-FAF8-4066-9CA9-88923801AEBA}"/>
                </c:ext>
              </c:extLst>
            </c:dLbl>
            <c:dLbl>
              <c:idx val="12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3-FAF8-4066-9CA9-88923801AEBA}"/>
                </c:ext>
              </c:extLst>
            </c:dLbl>
            <c:dLbl>
              <c:idx val="12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4-FAF8-4066-9CA9-88923801AEBA}"/>
                </c:ext>
              </c:extLst>
            </c:dLbl>
            <c:dLbl>
              <c:idx val="13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5-FAF8-4066-9CA9-88923801AEBA}"/>
                </c:ext>
              </c:extLst>
            </c:dLbl>
            <c:dLbl>
              <c:idx val="13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6-FAF8-4066-9CA9-88923801AEBA}"/>
                </c:ext>
              </c:extLst>
            </c:dLbl>
            <c:dLbl>
              <c:idx val="13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7-FAF8-4066-9CA9-88923801AEBA}"/>
                </c:ext>
              </c:extLst>
            </c:dLbl>
            <c:dLbl>
              <c:idx val="13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8-FAF8-4066-9CA9-88923801AEBA}"/>
                </c:ext>
              </c:extLst>
            </c:dLbl>
            <c:dLbl>
              <c:idx val="13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9-FAF8-4066-9CA9-88923801AEBA}"/>
                </c:ext>
              </c:extLst>
            </c:dLbl>
            <c:dLbl>
              <c:idx val="13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A-FAF8-4066-9CA9-88923801AEBA}"/>
                </c:ext>
              </c:extLst>
            </c:dLbl>
            <c:dLbl>
              <c:idx val="13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B-FAF8-4066-9CA9-88923801AEBA}"/>
                </c:ext>
              </c:extLst>
            </c:dLbl>
            <c:dLbl>
              <c:idx val="13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C-FAF8-4066-9CA9-88923801AEBA}"/>
                </c:ext>
              </c:extLst>
            </c:dLbl>
            <c:dLbl>
              <c:idx val="13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D-FAF8-4066-9CA9-88923801AEBA}"/>
                </c:ext>
              </c:extLst>
            </c:dLbl>
            <c:dLbl>
              <c:idx val="13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E-FAF8-4066-9CA9-88923801AEBA}"/>
                </c:ext>
              </c:extLst>
            </c:dLbl>
            <c:dLbl>
              <c:idx val="14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F-FAF8-4066-9CA9-88923801AEBA}"/>
                </c:ext>
              </c:extLst>
            </c:dLbl>
            <c:dLbl>
              <c:idx val="14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0-FAF8-4066-9CA9-88923801AEBA}"/>
                </c:ext>
              </c:extLst>
            </c:dLbl>
            <c:dLbl>
              <c:idx val="14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1-FAF8-4066-9CA9-88923801AEBA}"/>
                </c:ext>
              </c:extLst>
            </c:dLbl>
            <c:dLbl>
              <c:idx val="14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2-FAF8-4066-9CA9-88923801AEBA}"/>
                </c:ext>
              </c:extLst>
            </c:dLbl>
            <c:dLbl>
              <c:idx val="14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3-FAF8-4066-9CA9-88923801AEBA}"/>
                </c:ext>
              </c:extLst>
            </c:dLbl>
            <c:dLbl>
              <c:idx val="14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4-FAF8-4066-9CA9-88923801AEBA}"/>
                </c:ext>
              </c:extLst>
            </c:dLbl>
            <c:dLbl>
              <c:idx val="14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5-FAF8-4066-9CA9-88923801AEBA}"/>
                </c:ext>
              </c:extLst>
            </c:dLbl>
            <c:dLbl>
              <c:idx val="14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6-FAF8-4066-9CA9-88923801AEBA}"/>
                </c:ext>
              </c:extLst>
            </c:dLbl>
            <c:dLbl>
              <c:idx val="14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7-FAF8-4066-9CA9-88923801AEBA}"/>
                </c:ext>
              </c:extLst>
            </c:dLbl>
            <c:dLbl>
              <c:idx val="14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8-FAF8-4066-9CA9-88923801AEBA}"/>
                </c:ext>
              </c:extLst>
            </c:dLbl>
            <c:dLbl>
              <c:idx val="15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9-FAF8-4066-9CA9-88923801AEBA}"/>
                </c:ext>
              </c:extLst>
            </c:dLbl>
            <c:dLbl>
              <c:idx val="15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A-FAF8-4066-9CA9-88923801AEBA}"/>
                </c:ext>
              </c:extLst>
            </c:dLbl>
            <c:dLbl>
              <c:idx val="15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B-FAF8-4066-9CA9-88923801AEBA}"/>
                </c:ext>
              </c:extLst>
            </c:dLbl>
            <c:dLbl>
              <c:idx val="15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C-FAF8-4066-9CA9-88923801AEBA}"/>
                </c:ext>
              </c:extLst>
            </c:dLbl>
            <c:dLbl>
              <c:idx val="15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D-FAF8-4066-9CA9-88923801AEBA}"/>
                </c:ext>
              </c:extLst>
            </c:dLbl>
            <c:dLbl>
              <c:idx val="15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E-FAF8-4066-9CA9-88923801AEBA}"/>
                </c:ext>
              </c:extLst>
            </c:dLbl>
            <c:dLbl>
              <c:idx val="15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F-FAF8-4066-9CA9-88923801AEBA}"/>
                </c:ext>
              </c:extLst>
            </c:dLbl>
            <c:dLbl>
              <c:idx val="15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0-FAF8-4066-9CA9-88923801AEBA}"/>
                </c:ext>
              </c:extLst>
            </c:dLbl>
            <c:dLbl>
              <c:idx val="15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1-FAF8-4066-9CA9-88923801AEBA}"/>
                </c:ext>
              </c:extLst>
            </c:dLbl>
            <c:dLbl>
              <c:idx val="15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2-FAF8-4066-9CA9-88923801AEBA}"/>
                </c:ext>
              </c:extLst>
            </c:dLbl>
            <c:dLbl>
              <c:idx val="16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3-FAF8-4066-9CA9-88923801AEBA}"/>
                </c:ext>
              </c:extLst>
            </c:dLbl>
            <c:dLbl>
              <c:idx val="16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4-FAF8-4066-9CA9-88923801AEBA}"/>
                </c:ext>
              </c:extLst>
            </c:dLbl>
            <c:dLbl>
              <c:idx val="16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5-FAF8-4066-9CA9-88923801AEBA}"/>
                </c:ext>
              </c:extLst>
            </c:dLbl>
            <c:dLbl>
              <c:idx val="16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6-FAF8-4066-9CA9-88923801AEBA}"/>
                </c:ext>
              </c:extLst>
            </c:dLbl>
            <c:dLbl>
              <c:idx val="16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7-FAF8-4066-9CA9-88923801AEBA}"/>
                </c:ext>
              </c:extLst>
            </c:dLbl>
            <c:dLbl>
              <c:idx val="16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8-FAF8-4066-9CA9-88923801AEBA}"/>
                </c:ext>
              </c:extLst>
            </c:dLbl>
            <c:dLbl>
              <c:idx val="16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9-FAF8-4066-9CA9-88923801AEBA}"/>
                </c:ext>
              </c:extLst>
            </c:dLbl>
            <c:dLbl>
              <c:idx val="16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A-FAF8-4066-9CA9-88923801AEBA}"/>
                </c:ext>
              </c:extLst>
            </c:dLbl>
            <c:dLbl>
              <c:idx val="16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B-FAF8-4066-9CA9-88923801AEBA}"/>
                </c:ext>
              </c:extLst>
            </c:dLbl>
            <c:dLbl>
              <c:idx val="16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C-FAF8-4066-9CA9-88923801AEBA}"/>
                </c:ext>
              </c:extLst>
            </c:dLbl>
            <c:dLbl>
              <c:idx val="17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D-FAF8-4066-9CA9-88923801AEBA}"/>
                </c:ext>
              </c:extLst>
            </c:dLbl>
            <c:dLbl>
              <c:idx val="17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E-FAF8-4066-9CA9-88923801AEBA}"/>
                </c:ext>
              </c:extLst>
            </c:dLbl>
            <c:dLbl>
              <c:idx val="17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F-FAF8-4066-9CA9-88923801AEBA}"/>
                </c:ext>
              </c:extLst>
            </c:dLbl>
            <c:dLbl>
              <c:idx val="17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0-FAF8-4066-9CA9-88923801AEBA}"/>
                </c:ext>
              </c:extLst>
            </c:dLbl>
            <c:dLbl>
              <c:idx val="17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1-FAF8-4066-9CA9-88923801AEBA}"/>
                </c:ext>
              </c:extLst>
            </c:dLbl>
            <c:dLbl>
              <c:idx val="17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2-FAF8-4066-9CA9-88923801AEBA}"/>
                </c:ext>
              </c:extLst>
            </c:dLbl>
            <c:dLbl>
              <c:idx val="17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3-FAF8-4066-9CA9-88923801AEBA}"/>
                </c:ext>
              </c:extLst>
            </c:dLbl>
            <c:dLbl>
              <c:idx val="17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4-FAF8-4066-9CA9-88923801AEBA}"/>
                </c:ext>
              </c:extLst>
            </c:dLbl>
            <c:dLbl>
              <c:idx val="17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5-FAF8-4066-9CA9-88923801AEBA}"/>
                </c:ext>
              </c:extLst>
            </c:dLbl>
            <c:dLbl>
              <c:idx val="17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6-FAF8-4066-9CA9-88923801AEBA}"/>
                </c:ext>
              </c:extLst>
            </c:dLbl>
            <c:dLbl>
              <c:idx val="18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7-FAF8-4066-9CA9-88923801AEBA}"/>
                </c:ext>
              </c:extLst>
            </c:dLbl>
            <c:dLbl>
              <c:idx val="18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8-FAF8-4066-9CA9-88923801AEBA}"/>
                </c:ext>
              </c:extLst>
            </c:dLbl>
            <c:dLbl>
              <c:idx val="18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9-FAF8-4066-9CA9-88923801AEBA}"/>
                </c:ext>
              </c:extLst>
            </c:dLbl>
            <c:dLbl>
              <c:idx val="18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A-FAF8-4066-9CA9-88923801AEBA}"/>
                </c:ext>
              </c:extLst>
            </c:dLbl>
            <c:dLbl>
              <c:idx val="18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B-FAF8-4066-9CA9-88923801AEBA}"/>
                </c:ext>
              </c:extLst>
            </c:dLbl>
            <c:dLbl>
              <c:idx val="18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C-FAF8-4066-9CA9-88923801AEBA}"/>
                </c:ext>
              </c:extLst>
            </c:dLbl>
            <c:dLbl>
              <c:idx val="18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D-FAF8-4066-9CA9-88923801AEBA}"/>
                </c:ext>
              </c:extLst>
            </c:dLbl>
            <c:dLbl>
              <c:idx val="18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E-FAF8-4066-9CA9-88923801AEBA}"/>
                </c:ext>
              </c:extLst>
            </c:dLbl>
            <c:dLbl>
              <c:idx val="18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F-FAF8-4066-9CA9-88923801AEBA}"/>
                </c:ext>
              </c:extLst>
            </c:dLbl>
            <c:dLbl>
              <c:idx val="18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0-FAF8-4066-9CA9-88923801AEBA}"/>
                </c:ext>
              </c:extLst>
            </c:dLbl>
            <c:dLbl>
              <c:idx val="19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1-FAF8-4066-9CA9-88923801AEBA}"/>
                </c:ext>
              </c:extLst>
            </c:dLbl>
            <c:dLbl>
              <c:idx val="19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2-FAF8-4066-9CA9-88923801AEBA}"/>
                </c:ext>
              </c:extLst>
            </c:dLbl>
            <c:dLbl>
              <c:idx val="19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3-FAF8-4066-9CA9-88923801AEBA}"/>
                </c:ext>
              </c:extLst>
            </c:dLbl>
            <c:dLbl>
              <c:idx val="19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4-FAF8-4066-9CA9-88923801AEBA}"/>
                </c:ext>
              </c:extLst>
            </c:dLbl>
            <c:dLbl>
              <c:idx val="19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5-FAF8-4066-9CA9-88923801AEBA}"/>
                </c:ext>
              </c:extLst>
            </c:dLbl>
            <c:dLbl>
              <c:idx val="19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6-FAF8-4066-9CA9-88923801AEBA}"/>
                </c:ext>
              </c:extLst>
            </c:dLbl>
            <c:dLbl>
              <c:idx val="19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7-FAF8-4066-9CA9-88923801AEBA}"/>
                </c:ext>
              </c:extLst>
            </c:dLbl>
            <c:dLbl>
              <c:idx val="19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8-FAF8-4066-9CA9-88923801AEBA}"/>
                </c:ext>
              </c:extLst>
            </c:dLbl>
            <c:dLbl>
              <c:idx val="19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9-FAF8-4066-9CA9-88923801AEBA}"/>
                </c:ext>
              </c:extLst>
            </c:dLbl>
            <c:dLbl>
              <c:idx val="19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A-FAF8-4066-9CA9-88923801AEBA}"/>
                </c:ext>
              </c:extLst>
            </c:dLbl>
            <c:dLbl>
              <c:idx val="20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B-FAF8-4066-9CA9-88923801AEBA}"/>
                </c:ext>
              </c:extLst>
            </c:dLbl>
            <c:dLbl>
              <c:idx val="20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C-FAF8-4066-9CA9-88923801AEBA}"/>
                </c:ext>
              </c:extLst>
            </c:dLbl>
            <c:dLbl>
              <c:idx val="20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D-FAF8-4066-9CA9-88923801AEBA}"/>
                </c:ext>
              </c:extLst>
            </c:dLbl>
            <c:dLbl>
              <c:idx val="20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E-FAF8-4066-9CA9-88923801AEBA}"/>
                </c:ext>
              </c:extLst>
            </c:dLbl>
            <c:dLbl>
              <c:idx val="20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F-FAF8-4066-9CA9-88923801AEBA}"/>
                </c:ext>
              </c:extLst>
            </c:dLbl>
            <c:dLbl>
              <c:idx val="20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0-FAF8-4066-9CA9-88923801AEBA}"/>
                </c:ext>
              </c:extLst>
            </c:dLbl>
            <c:dLbl>
              <c:idx val="20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1-FAF8-4066-9CA9-88923801AEBA}"/>
                </c:ext>
              </c:extLst>
            </c:dLbl>
            <c:dLbl>
              <c:idx val="20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2-FAF8-4066-9CA9-88923801AEBA}"/>
                </c:ext>
              </c:extLst>
            </c:dLbl>
            <c:dLbl>
              <c:idx val="20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3-FAF8-4066-9CA9-88923801AEBA}"/>
                </c:ext>
              </c:extLst>
            </c:dLbl>
            <c:dLbl>
              <c:idx val="20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4-FAF8-4066-9CA9-88923801AEBA}"/>
                </c:ext>
              </c:extLst>
            </c:dLbl>
            <c:dLbl>
              <c:idx val="21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5-FAF8-4066-9CA9-88923801AEBA}"/>
                </c:ext>
              </c:extLst>
            </c:dLbl>
            <c:dLbl>
              <c:idx val="21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6-FAF8-4066-9CA9-88923801AEBA}"/>
                </c:ext>
              </c:extLst>
            </c:dLbl>
            <c:dLbl>
              <c:idx val="21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7-FAF8-4066-9CA9-88923801AEBA}"/>
                </c:ext>
              </c:extLst>
            </c:dLbl>
            <c:dLbl>
              <c:idx val="21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8-FAF8-4066-9CA9-88923801AEBA}"/>
                </c:ext>
              </c:extLst>
            </c:dLbl>
            <c:dLbl>
              <c:idx val="21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9-FAF8-4066-9CA9-88923801AEBA}"/>
                </c:ext>
              </c:extLst>
            </c:dLbl>
            <c:dLbl>
              <c:idx val="21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A-FAF8-4066-9CA9-88923801AEBA}"/>
                </c:ext>
              </c:extLst>
            </c:dLbl>
            <c:dLbl>
              <c:idx val="21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B-FAF8-4066-9CA9-88923801AEBA}"/>
                </c:ext>
              </c:extLst>
            </c:dLbl>
            <c:dLbl>
              <c:idx val="21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C-FAF8-4066-9CA9-88923801AEBA}"/>
                </c:ext>
              </c:extLst>
            </c:dLbl>
            <c:dLbl>
              <c:idx val="21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D-FAF8-4066-9CA9-88923801AEBA}"/>
                </c:ext>
              </c:extLst>
            </c:dLbl>
            <c:dLbl>
              <c:idx val="21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E-FAF8-4066-9CA9-88923801AEBA}"/>
                </c:ext>
              </c:extLst>
            </c:dLbl>
            <c:dLbl>
              <c:idx val="22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F-FAF8-4066-9CA9-88923801AEBA}"/>
                </c:ext>
              </c:extLst>
            </c:dLbl>
            <c:dLbl>
              <c:idx val="22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0-FAF8-4066-9CA9-88923801AEBA}"/>
                </c:ext>
              </c:extLst>
            </c:dLbl>
            <c:dLbl>
              <c:idx val="22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1-FAF8-4066-9CA9-88923801AEBA}"/>
                </c:ext>
              </c:extLst>
            </c:dLbl>
            <c:dLbl>
              <c:idx val="22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2-FAF8-4066-9CA9-88923801AEBA}"/>
                </c:ext>
              </c:extLst>
            </c:dLbl>
            <c:dLbl>
              <c:idx val="22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3-FAF8-4066-9CA9-88923801AEBA}"/>
                </c:ext>
              </c:extLst>
            </c:dLbl>
            <c:dLbl>
              <c:idx val="22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4-FAF8-4066-9CA9-88923801AEBA}"/>
                </c:ext>
              </c:extLst>
            </c:dLbl>
            <c:dLbl>
              <c:idx val="22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5-FAF8-4066-9CA9-88923801AEBA}"/>
                </c:ext>
              </c:extLst>
            </c:dLbl>
            <c:dLbl>
              <c:idx val="22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6-FAF8-4066-9CA9-88923801AEBA}"/>
                </c:ext>
              </c:extLst>
            </c:dLbl>
            <c:dLbl>
              <c:idx val="22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7-FAF8-4066-9CA9-88923801AEBA}"/>
                </c:ext>
              </c:extLst>
            </c:dLbl>
            <c:dLbl>
              <c:idx val="22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8-FAF8-4066-9CA9-88923801AEBA}"/>
                </c:ext>
              </c:extLst>
            </c:dLbl>
            <c:dLbl>
              <c:idx val="23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9-FAF8-4066-9CA9-88923801AEBA}"/>
                </c:ext>
              </c:extLst>
            </c:dLbl>
            <c:dLbl>
              <c:idx val="23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A-FAF8-4066-9CA9-88923801AEBA}"/>
                </c:ext>
              </c:extLst>
            </c:dLbl>
            <c:dLbl>
              <c:idx val="23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B-FAF8-4066-9CA9-88923801AEBA}"/>
                </c:ext>
              </c:extLst>
            </c:dLbl>
            <c:dLbl>
              <c:idx val="23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C-FAF8-4066-9CA9-88923801AEBA}"/>
                </c:ext>
              </c:extLst>
            </c:dLbl>
            <c:dLbl>
              <c:idx val="23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D-FAF8-4066-9CA9-88923801AEBA}"/>
                </c:ext>
              </c:extLst>
            </c:dLbl>
            <c:dLbl>
              <c:idx val="23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E-FAF8-4066-9CA9-88923801AEBA}"/>
                </c:ext>
              </c:extLst>
            </c:dLbl>
            <c:dLbl>
              <c:idx val="23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F-FAF8-4066-9CA9-88923801AEBA}"/>
                </c:ext>
              </c:extLst>
            </c:dLbl>
            <c:dLbl>
              <c:idx val="23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0-FAF8-4066-9CA9-88923801AEBA}"/>
                </c:ext>
              </c:extLst>
            </c:dLbl>
            <c:dLbl>
              <c:idx val="23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1-FAF8-4066-9CA9-88923801AEBA}"/>
                </c:ext>
              </c:extLst>
            </c:dLbl>
            <c:dLbl>
              <c:idx val="23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2-FAF8-4066-9CA9-88923801AEBA}"/>
                </c:ext>
              </c:extLst>
            </c:dLbl>
            <c:dLbl>
              <c:idx val="24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3-FAF8-4066-9CA9-88923801AEBA}"/>
                </c:ext>
              </c:extLst>
            </c:dLbl>
            <c:dLbl>
              <c:idx val="24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4-FAF8-4066-9CA9-88923801AEBA}"/>
                </c:ext>
              </c:extLst>
            </c:dLbl>
            <c:dLbl>
              <c:idx val="24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5-FAF8-4066-9CA9-88923801AEBA}"/>
                </c:ext>
              </c:extLst>
            </c:dLbl>
            <c:dLbl>
              <c:idx val="24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6-FAF8-4066-9CA9-88923801AEBA}"/>
                </c:ext>
              </c:extLst>
            </c:dLbl>
            <c:dLbl>
              <c:idx val="24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7-FAF8-4066-9CA9-88923801AEBA}"/>
                </c:ext>
              </c:extLst>
            </c:dLbl>
            <c:dLbl>
              <c:idx val="24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8-FAF8-4066-9CA9-88923801AEBA}"/>
                </c:ext>
              </c:extLst>
            </c:dLbl>
            <c:dLbl>
              <c:idx val="24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9-FAF8-4066-9CA9-88923801AEBA}"/>
                </c:ext>
              </c:extLst>
            </c:dLbl>
            <c:dLbl>
              <c:idx val="24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A-FAF8-4066-9CA9-88923801AEBA}"/>
                </c:ext>
              </c:extLst>
            </c:dLbl>
            <c:dLbl>
              <c:idx val="24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B-FAF8-4066-9CA9-88923801AEBA}"/>
                </c:ext>
              </c:extLst>
            </c:dLbl>
            <c:dLbl>
              <c:idx val="24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C-FAF8-4066-9CA9-88923801AEBA}"/>
                </c:ext>
              </c:extLst>
            </c:dLbl>
            <c:dLbl>
              <c:idx val="25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D-FAF8-4066-9CA9-88923801AEBA}"/>
                </c:ext>
              </c:extLst>
            </c:dLbl>
            <c:dLbl>
              <c:idx val="25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E-FAF8-4066-9CA9-88923801AEBA}"/>
                </c:ext>
              </c:extLst>
            </c:dLbl>
            <c:dLbl>
              <c:idx val="25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F-FAF8-4066-9CA9-88923801AEBA}"/>
                </c:ext>
              </c:extLst>
            </c:dLbl>
            <c:dLbl>
              <c:idx val="25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0-FAF8-4066-9CA9-88923801AEBA}"/>
                </c:ext>
              </c:extLst>
            </c:dLbl>
            <c:dLbl>
              <c:idx val="25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1-FAF8-4066-9CA9-88923801AEBA}"/>
                </c:ext>
              </c:extLst>
            </c:dLbl>
            <c:dLbl>
              <c:idx val="25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2-FAF8-4066-9CA9-88923801AEBA}"/>
                </c:ext>
              </c:extLst>
            </c:dLbl>
            <c:dLbl>
              <c:idx val="25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3-FAF8-4066-9CA9-88923801AEBA}"/>
                </c:ext>
              </c:extLst>
            </c:dLbl>
            <c:dLbl>
              <c:idx val="25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4-FAF8-4066-9CA9-88923801AEBA}"/>
                </c:ext>
              </c:extLst>
            </c:dLbl>
            <c:dLbl>
              <c:idx val="25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5-FAF8-4066-9CA9-88923801AEBA}"/>
                </c:ext>
              </c:extLst>
            </c:dLbl>
            <c:dLbl>
              <c:idx val="25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6-FAF8-4066-9CA9-88923801AEBA}"/>
                </c:ext>
              </c:extLst>
            </c:dLbl>
            <c:dLbl>
              <c:idx val="26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7-FAF8-4066-9CA9-88923801AEBA}"/>
                </c:ext>
              </c:extLst>
            </c:dLbl>
            <c:dLbl>
              <c:idx val="26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8-FAF8-4066-9CA9-88923801AEBA}"/>
                </c:ext>
              </c:extLst>
            </c:dLbl>
            <c:dLbl>
              <c:idx val="26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9-FAF8-4066-9CA9-88923801AEBA}"/>
                </c:ext>
              </c:extLst>
            </c:dLbl>
            <c:dLbl>
              <c:idx val="26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A-FAF8-4066-9CA9-88923801AEBA}"/>
                </c:ext>
              </c:extLst>
            </c:dLbl>
            <c:dLbl>
              <c:idx val="26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B-FAF8-4066-9CA9-88923801AEBA}"/>
                </c:ext>
              </c:extLst>
            </c:dLbl>
            <c:dLbl>
              <c:idx val="26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C-FAF8-4066-9CA9-88923801AEBA}"/>
                </c:ext>
              </c:extLst>
            </c:dLbl>
            <c:dLbl>
              <c:idx val="26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D-FAF8-4066-9CA9-88923801AEBA}"/>
                </c:ext>
              </c:extLst>
            </c:dLbl>
            <c:dLbl>
              <c:idx val="26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E-FAF8-4066-9CA9-88923801AEBA}"/>
                </c:ext>
              </c:extLst>
            </c:dLbl>
            <c:dLbl>
              <c:idx val="26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F-FAF8-4066-9CA9-88923801AEBA}"/>
                </c:ext>
              </c:extLst>
            </c:dLbl>
            <c:dLbl>
              <c:idx val="26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0-FAF8-4066-9CA9-88923801AEBA}"/>
                </c:ext>
              </c:extLst>
            </c:dLbl>
            <c:dLbl>
              <c:idx val="27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1-FAF8-4066-9CA9-88923801AEBA}"/>
                </c:ext>
              </c:extLst>
            </c:dLbl>
            <c:dLbl>
              <c:idx val="27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2-FAF8-4066-9CA9-88923801AEBA}"/>
                </c:ext>
              </c:extLst>
            </c:dLbl>
            <c:dLbl>
              <c:idx val="27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3-FAF8-4066-9CA9-88923801AEBA}"/>
                </c:ext>
              </c:extLst>
            </c:dLbl>
            <c:dLbl>
              <c:idx val="27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4-FAF8-4066-9CA9-88923801AEBA}"/>
                </c:ext>
              </c:extLst>
            </c:dLbl>
            <c:dLbl>
              <c:idx val="27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5-FAF8-4066-9CA9-88923801AEBA}"/>
                </c:ext>
              </c:extLst>
            </c:dLbl>
            <c:dLbl>
              <c:idx val="27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6-FAF8-4066-9CA9-88923801AEBA}"/>
                </c:ext>
              </c:extLst>
            </c:dLbl>
            <c:dLbl>
              <c:idx val="27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7-FAF8-4066-9CA9-88923801AEBA}"/>
                </c:ext>
              </c:extLst>
            </c:dLbl>
            <c:dLbl>
              <c:idx val="27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8-FAF8-4066-9CA9-88923801AEBA}"/>
                </c:ext>
              </c:extLst>
            </c:dLbl>
            <c:dLbl>
              <c:idx val="27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9-FAF8-4066-9CA9-88923801AEBA}"/>
                </c:ext>
              </c:extLst>
            </c:dLbl>
            <c:dLbl>
              <c:idx val="27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A-FAF8-4066-9CA9-88923801AEBA}"/>
                </c:ext>
              </c:extLst>
            </c:dLbl>
            <c:dLbl>
              <c:idx val="28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B-FAF8-4066-9CA9-88923801AEBA}"/>
                </c:ext>
              </c:extLst>
            </c:dLbl>
            <c:dLbl>
              <c:idx val="28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C-FAF8-4066-9CA9-88923801AEBA}"/>
                </c:ext>
              </c:extLst>
            </c:dLbl>
            <c:dLbl>
              <c:idx val="28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D-FAF8-4066-9CA9-88923801AEBA}"/>
                </c:ext>
              </c:extLst>
            </c:dLbl>
            <c:dLbl>
              <c:idx val="28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E-FAF8-4066-9CA9-88923801AEBA}"/>
                </c:ext>
              </c:extLst>
            </c:dLbl>
            <c:dLbl>
              <c:idx val="28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F-FAF8-4066-9CA9-88923801AEBA}"/>
                </c:ext>
              </c:extLst>
            </c:dLbl>
            <c:dLbl>
              <c:idx val="28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0-FAF8-4066-9CA9-88923801AEBA}"/>
                </c:ext>
              </c:extLst>
            </c:dLbl>
            <c:dLbl>
              <c:idx val="28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1-FAF8-4066-9CA9-88923801AEBA}"/>
                </c:ext>
              </c:extLst>
            </c:dLbl>
            <c:dLbl>
              <c:idx val="28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2-FAF8-4066-9CA9-88923801AEBA}"/>
                </c:ext>
              </c:extLst>
            </c:dLbl>
            <c:dLbl>
              <c:idx val="28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3-FAF8-4066-9CA9-88923801AEBA}"/>
                </c:ext>
              </c:extLst>
            </c:dLbl>
            <c:dLbl>
              <c:idx val="28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4-FAF8-4066-9CA9-88923801AEBA}"/>
                </c:ext>
              </c:extLst>
            </c:dLbl>
            <c:dLbl>
              <c:idx val="29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5-FAF8-4066-9CA9-88923801AEBA}"/>
                </c:ext>
              </c:extLst>
            </c:dLbl>
            <c:dLbl>
              <c:idx val="29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6-FAF8-4066-9CA9-88923801AEBA}"/>
                </c:ext>
              </c:extLst>
            </c:dLbl>
            <c:dLbl>
              <c:idx val="29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7-FAF8-4066-9CA9-88923801AEBA}"/>
                </c:ext>
              </c:extLst>
            </c:dLbl>
            <c:dLbl>
              <c:idx val="29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8-FAF8-4066-9CA9-88923801AEBA}"/>
                </c:ext>
              </c:extLst>
            </c:dLbl>
            <c:dLbl>
              <c:idx val="29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9-FAF8-4066-9CA9-88923801AEBA}"/>
                </c:ext>
              </c:extLst>
            </c:dLbl>
            <c:dLbl>
              <c:idx val="29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A-FAF8-4066-9CA9-88923801AEBA}"/>
                </c:ext>
              </c:extLst>
            </c:dLbl>
            <c:dLbl>
              <c:idx val="29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B-FAF8-4066-9CA9-88923801AEBA}"/>
                </c:ext>
              </c:extLst>
            </c:dLbl>
            <c:dLbl>
              <c:idx val="29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C-FAF8-4066-9CA9-88923801AEBA}"/>
                </c:ext>
              </c:extLst>
            </c:dLbl>
            <c:dLbl>
              <c:idx val="29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D-FAF8-4066-9CA9-88923801AEBA}"/>
                </c:ext>
              </c:extLst>
            </c:dLbl>
            <c:dLbl>
              <c:idx val="29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E-FAF8-4066-9CA9-88923801AEBA}"/>
                </c:ext>
              </c:extLst>
            </c:dLbl>
            <c:dLbl>
              <c:idx val="30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F-FAF8-4066-9CA9-88923801AEBA}"/>
                </c:ext>
              </c:extLst>
            </c:dLbl>
            <c:dLbl>
              <c:idx val="30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0-FAF8-4066-9CA9-88923801AEBA}"/>
                </c:ext>
              </c:extLst>
            </c:dLbl>
            <c:dLbl>
              <c:idx val="30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1-FAF8-4066-9CA9-88923801AEBA}"/>
                </c:ext>
              </c:extLst>
            </c:dLbl>
            <c:dLbl>
              <c:idx val="30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2-FAF8-4066-9CA9-88923801AEBA}"/>
                </c:ext>
              </c:extLst>
            </c:dLbl>
            <c:dLbl>
              <c:idx val="30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3-FAF8-4066-9CA9-88923801AEBA}"/>
                </c:ext>
              </c:extLst>
            </c:dLbl>
            <c:dLbl>
              <c:idx val="30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4-FAF8-4066-9CA9-88923801AEBA}"/>
                </c:ext>
              </c:extLst>
            </c:dLbl>
            <c:dLbl>
              <c:idx val="30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5-FAF8-4066-9CA9-88923801AEBA}"/>
                </c:ext>
              </c:extLst>
            </c:dLbl>
            <c:dLbl>
              <c:idx val="30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6-FAF8-4066-9CA9-88923801AEBA}"/>
                </c:ext>
              </c:extLst>
            </c:dLbl>
            <c:dLbl>
              <c:idx val="30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7-FAF8-4066-9CA9-88923801AEBA}"/>
                </c:ext>
              </c:extLst>
            </c:dLbl>
            <c:dLbl>
              <c:idx val="30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8-FAF8-4066-9CA9-88923801AEBA}"/>
                </c:ext>
              </c:extLst>
            </c:dLbl>
            <c:dLbl>
              <c:idx val="31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9-FAF8-4066-9CA9-88923801AEBA}"/>
                </c:ext>
              </c:extLst>
            </c:dLbl>
            <c:dLbl>
              <c:idx val="31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A-FAF8-4066-9CA9-88923801AEBA}"/>
                </c:ext>
              </c:extLst>
            </c:dLbl>
            <c:dLbl>
              <c:idx val="31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B-FAF8-4066-9CA9-88923801AEBA}"/>
                </c:ext>
              </c:extLst>
            </c:dLbl>
            <c:dLbl>
              <c:idx val="31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C-FAF8-4066-9CA9-88923801AEBA}"/>
                </c:ext>
              </c:extLst>
            </c:dLbl>
            <c:dLbl>
              <c:idx val="31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D-FAF8-4066-9CA9-88923801AEBA}"/>
                </c:ext>
              </c:extLst>
            </c:dLbl>
            <c:dLbl>
              <c:idx val="31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E-FAF8-4066-9CA9-88923801AEBA}"/>
                </c:ext>
              </c:extLst>
            </c:dLbl>
            <c:dLbl>
              <c:idx val="31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F-FAF8-4066-9CA9-88923801AEBA}"/>
                </c:ext>
              </c:extLst>
            </c:dLbl>
            <c:dLbl>
              <c:idx val="31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0-FAF8-4066-9CA9-88923801AEBA}"/>
                </c:ext>
              </c:extLst>
            </c:dLbl>
            <c:dLbl>
              <c:idx val="31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1-FAF8-4066-9CA9-88923801AEBA}"/>
                </c:ext>
              </c:extLst>
            </c:dLbl>
            <c:dLbl>
              <c:idx val="31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2-FAF8-4066-9CA9-88923801AEBA}"/>
                </c:ext>
              </c:extLst>
            </c:dLbl>
            <c:dLbl>
              <c:idx val="32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3-FAF8-4066-9CA9-88923801AEBA}"/>
                </c:ext>
              </c:extLst>
            </c:dLbl>
            <c:dLbl>
              <c:idx val="32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4-FAF8-4066-9CA9-88923801AEBA}"/>
                </c:ext>
              </c:extLst>
            </c:dLbl>
            <c:dLbl>
              <c:idx val="32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5-FAF8-4066-9CA9-88923801AEBA}"/>
                </c:ext>
              </c:extLst>
            </c:dLbl>
            <c:dLbl>
              <c:idx val="32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6-FAF8-4066-9CA9-88923801AEBA}"/>
                </c:ext>
              </c:extLst>
            </c:dLbl>
            <c:dLbl>
              <c:idx val="32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7-FAF8-4066-9CA9-88923801AEBA}"/>
                </c:ext>
              </c:extLst>
            </c:dLbl>
            <c:dLbl>
              <c:idx val="32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8-FAF8-4066-9CA9-88923801AEBA}"/>
                </c:ext>
              </c:extLst>
            </c:dLbl>
            <c:dLbl>
              <c:idx val="32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9-FAF8-4066-9CA9-88923801AEBA}"/>
                </c:ext>
              </c:extLst>
            </c:dLbl>
            <c:dLbl>
              <c:idx val="32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A-FAF8-4066-9CA9-88923801AEBA}"/>
                </c:ext>
              </c:extLst>
            </c:dLbl>
            <c:dLbl>
              <c:idx val="32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B-FAF8-4066-9CA9-88923801AEBA}"/>
                </c:ext>
              </c:extLst>
            </c:dLbl>
            <c:dLbl>
              <c:idx val="32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C-FAF8-4066-9CA9-88923801AEBA}"/>
                </c:ext>
              </c:extLst>
            </c:dLbl>
            <c:dLbl>
              <c:idx val="33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D-FAF8-4066-9CA9-88923801AEBA}"/>
                </c:ext>
              </c:extLst>
            </c:dLbl>
            <c:dLbl>
              <c:idx val="33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E-FAF8-4066-9CA9-88923801AEBA}"/>
                </c:ext>
              </c:extLst>
            </c:dLbl>
            <c:dLbl>
              <c:idx val="33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F-FAF8-4066-9CA9-88923801AEBA}"/>
                </c:ext>
              </c:extLst>
            </c:dLbl>
            <c:dLbl>
              <c:idx val="33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0-FAF8-4066-9CA9-88923801AEBA}"/>
                </c:ext>
              </c:extLst>
            </c:dLbl>
            <c:dLbl>
              <c:idx val="33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1-FAF8-4066-9CA9-88923801AEBA}"/>
                </c:ext>
              </c:extLst>
            </c:dLbl>
            <c:dLbl>
              <c:idx val="33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2-FAF8-4066-9CA9-88923801AEBA}"/>
                </c:ext>
              </c:extLst>
            </c:dLbl>
            <c:dLbl>
              <c:idx val="33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3-FAF8-4066-9CA9-88923801AEBA}"/>
                </c:ext>
              </c:extLst>
            </c:dLbl>
            <c:dLbl>
              <c:idx val="33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4-FAF8-4066-9CA9-88923801AEBA}"/>
                </c:ext>
              </c:extLst>
            </c:dLbl>
            <c:dLbl>
              <c:idx val="33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5-FAF8-4066-9CA9-88923801AEBA}"/>
                </c:ext>
              </c:extLst>
            </c:dLbl>
            <c:dLbl>
              <c:idx val="33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6-FAF8-4066-9CA9-88923801AEBA}"/>
                </c:ext>
              </c:extLst>
            </c:dLbl>
            <c:dLbl>
              <c:idx val="34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7-FAF8-4066-9CA9-88923801AEBA}"/>
                </c:ext>
              </c:extLst>
            </c:dLbl>
            <c:dLbl>
              <c:idx val="34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8-FAF8-4066-9CA9-88923801AEBA}"/>
                </c:ext>
              </c:extLst>
            </c:dLbl>
            <c:dLbl>
              <c:idx val="34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9-FAF8-4066-9CA9-88923801AEBA}"/>
                </c:ext>
              </c:extLst>
            </c:dLbl>
            <c:dLbl>
              <c:idx val="34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A-FAF8-4066-9CA9-88923801AEBA}"/>
                </c:ext>
              </c:extLst>
            </c:dLbl>
            <c:dLbl>
              <c:idx val="34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B-FAF8-4066-9CA9-88923801AEBA}"/>
                </c:ext>
              </c:extLst>
            </c:dLbl>
            <c:dLbl>
              <c:idx val="34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C-FAF8-4066-9CA9-88923801AEBA}"/>
                </c:ext>
              </c:extLst>
            </c:dLbl>
            <c:dLbl>
              <c:idx val="34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D-FAF8-4066-9CA9-88923801AEBA}"/>
                </c:ext>
              </c:extLst>
            </c:dLbl>
            <c:dLbl>
              <c:idx val="34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E-FAF8-4066-9CA9-88923801AEBA}"/>
                </c:ext>
              </c:extLst>
            </c:dLbl>
            <c:dLbl>
              <c:idx val="34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F-FAF8-4066-9CA9-88923801AEBA}"/>
                </c:ext>
              </c:extLst>
            </c:dLbl>
            <c:dLbl>
              <c:idx val="34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0-FAF8-4066-9CA9-88923801AEBA}"/>
                </c:ext>
              </c:extLst>
            </c:dLbl>
            <c:dLbl>
              <c:idx val="35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1-FAF8-4066-9CA9-88923801AEBA}"/>
                </c:ext>
              </c:extLst>
            </c:dLbl>
            <c:dLbl>
              <c:idx val="35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2-FAF8-4066-9CA9-88923801AEBA}"/>
                </c:ext>
              </c:extLst>
            </c:dLbl>
            <c:dLbl>
              <c:idx val="35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3-FAF8-4066-9CA9-88923801AEBA}"/>
                </c:ext>
              </c:extLst>
            </c:dLbl>
            <c:dLbl>
              <c:idx val="35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4-FAF8-4066-9CA9-88923801AEBA}"/>
                </c:ext>
              </c:extLst>
            </c:dLbl>
            <c:dLbl>
              <c:idx val="35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5-FAF8-4066-9CA9-88923801AEBA}"/>
                </c:ext>
              </c:extLst>
            </c:dLbl>
            <c:dLbl>
              <c:idx val="35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6-FAF8-4066-9CA9-88923801AEBA}"/>
                </c:ext>
              </c:extLst>
            </c:dLbl>
            <c:dLbl>
              <c:idx val="35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7-FAF8-4066-9CA9-88923801AEBA}"/>
                </c:ext>
              </c:extLst>
            </c:dLbl>
            <c:dLbl>
              <c:idx val="35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8-FAF8-4066-9CA9-88923801AEBA}"/>
                </c:ext>
              </c:extLst>
            </c:dLbl>
            <c:dLbl>
              <c:idx val="35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9-FAF8-4066-9CA9-88923801AEBA}"/>
                </c:ext>
              </c:extLst>
            </c:dLbl>
            <c:dLbl>
              <c:idx val="35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A-FAF8-4066-9CA9-88923801AEBA}"/>
                </c:ext>
              </c:extLst>
            </c:dLbl>
            <c:dLbl>
              <c:idx val="36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B-FAF8-4066-9CA9-88923801AEBA}"/>
                </c:ext>
              </c:extLst>
            </c:dLbl>
            <c:dLbl>
              <c:idx val="36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C-FAF8-4066-9CA9-88923801AEBA}"/>
                </c:ext>
              </c:extLst>
            </c:dLbl>
            <c:dLbl>
              <c:idx val="36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D-FAF8-4066-9CA9-88923801AEBA}"/>
                </c:ext>
              </c:extLst>
            </c:dLbl>
            <c:dLbl>
              <c:idx val="36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E-FAF8-4066-9CA9-88923801AEBA}"/>
                </c:ext>
              </c:extLst>
            </c:dLbl>
            <c:dLbl>
              <c:idx val="36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F-FAF8-4066-9CA9-88923801AEBA}"/>
                </c:ext>
              </c:extLst>
            </c:dLbl>
            <c:dLbl>
              <c:idx val="36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0-FAF8-4066-9CA9-88923801AEBA}"/>
                </c:ext>
              </c:extLst>
            </c:dLbl>
            <c:dLbl>
              <c:idx val="36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1-FAF8-4066-9CA9-88923801AEBA}"/>
                </c:ext>
              </c:extLst>
            </c:dLbl>
            <c:dLbl>
              <c:idx val="36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2-FAF8-4066-9CA9-88923801AEBA}"/>
                </c:ext>
              </c:extLst>
            </c:dLbl>
            <c:dLbl>
              <c:idx val="36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3-FAF8-4066-9CA9-88923801AEBA}"/>
                </c:ext>
              </c:extLst>
            </c:dLbl>
            <c:dLbl>
              <c:idx val="36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4-FAF8-4066-9CA9-88923801AEBA}"/>
                </c:ext>
              </c:extLst>
            </c:dLbl>
            <c:dLbl>
              <c:idx val="37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5-FAF8-4066-9CA9-88923801AEBA}"/>
                </c:ext>
              </c:extLst>
            </c:dLbl>
            <c:dLbl>
              <c:idx val="37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6-FAF8-4066-9CA9-88923801AEBA}"/>
                </c:ext>
              </c:extLst>
            </c:dLbl>
            <c:dLbl>
              <c:idx val="37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7-FAF8-4066-9CA9-88923801AEBA}"/>
                </c:ext>
              </c:extLst>
            </c:dLbl>
            <c:dLbl>
              <c:idx val="37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8-FAF8-4066-9CA9-88923801AEBA}"/>
                </c:ext>
              </c:extLst>
            </c:dLbl>
            <c:dLbl>
              <c:idx val="37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9-FAF8-4066-9CA9-88923801AEBA}"/>
                </c:ext>
              </c:extLst>
            </c:dLbl>
            <c:dLbl>
              <c:idx val="37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A-FAF8-4066-9CA9-88923801AEBA}"/>
                </c:ext>
              </c:extLst>
            </c:dLbl>
            <c:dLbl>
              <c:idx val="37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B-FAF8-4066-9CA9-88923801AEBA}"/>
                </c:ext>
              </c:extLst>
            </c:dLbl>
            <c:dLbl>
              <c:idx val="37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C-FAF8-4066-9CA9-88923801AEBA}"/>
                </c:ext>
              </c:extLst>
            </c:dLbl>
            <c:dLbl>
              <c:idx val="37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D-FAF8-4066-9CA9-88923801AEBA}"/>
                </c:ext>
              </c:extLst>
            </c:dLbl>
            <c:dLbl>
              <c:idx val="37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E-FAF8-4066-9CA9-88923801AEBA}"/>
                </c:ext>
              </c:extLst>
            </c:dLbl>
            <c:dLbl>
              <c:idx val="38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F-FAF8-4066-9CA9-88923801AEBA}"/>
                </c:ext>
              </c:extLst>
            </c:dLbl>
            <c:dLbl>
              <c:idx val="38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0-FAF8-4066-9CA9-88923801AEBA}"/>
                </c:ext>
              </c:extLst>
            </c:dLbl>
            <c:dLbl>
              <c:idx val="38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1-FAF8-4066-9CA9-88923801AEBA}"/>
                </c:ext>
              </c:extLst>
            </c:dLbl>
            <c:dLbl>
              <c:idx val="38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2-FAF8-4066-9CA9-88923801AEBA}"/>
                </c:ext>
              </c:extLst>
            </c:dLbl>
            <c:dLbl>
              <c:idx val="38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3-FAF8-4066-9CA9-88923801AEBA}"/>
                </c:ext>
              </c:extLst>
            </c:dLbl>
            <c:dLbl>
              <c:idx val="38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4-FAF8-4066-9CA9-88923801AEBA}"/>
                </c:ext>
              </c:extLst>
            </c:dLbl>
            <c:dLbl>
              <c:idx val="38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5-FAF8-4066-9CA9-88923801AEBA}"/>
                </c:ext>
              </c:extLst>
            </c:dLbl>
            <c:dLbl>
              <c:idx val="38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6-FAF8-4066-9CA9-88923801AEBA}"/>
                </c:ext>
              </c:extLst>
            </c:dLbl>
            <c:dLbl>
              <c:idx val="38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7-FAF8-4066-9CA9-88923801AEBA}"/>
                </c:ext>
              </c:extLst>
            </c:dLbl>
            <c:dLbl>
              <c:idx val="38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8-FAF8-4066-9CA9-88923801AEBA}"/>
                </c:ext>
              </c:extLst>
            </c:dLbl>
            <c:dLbl>
              <c:idx val="39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9-FAF8-4066-9CA9-88923801AEBA}"/>
                </c:ext>
              </c:extLst>
            </c:dLbl>
            <c:dLbl>
              <c:idx val="39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A-FAF8-4066-9CA9-88923801AEBA}"/>
                </c:ext>
              </c:extLst>
            </c:dLbl>
            <c:dLbl>
              <c:idx val="39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B-FAF8-4066-9CA9-88923801AEBA}"/>
                </c:ext>
              </c:extLst>
            </c:dLbl>
            <c:dLbl>
              <c:idx val="39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C-FAF8-4066-9CA9-88923801AEBA}"/>
                </c:ext>
              </c:extLst>
            </c:dLbl>
            <c:dLbl>
              <c:idx val="39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D-FAF8-4066-9CA9-88923801AEBA}"/>
                </c:ext>
              </c:extLst>
            </c:dLbl>
            <c:dLbl>
              <c:idx val="39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E-FAF8-4066-9CA9-88923801AEBA}"/>
                </c:ext>
              </c:extLst>
            </c:dLbl>
            <c:dLbl>
              <c:idx val="39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F-FAF8-4066-9CA9-88923801AEBA}"/>
                </c:ext>
              </c:extLst>
            </c:dLbl>
            <c:dLbl>
              <c:idx val="39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0-FAF8-4066-9CA9-88923801AEBA}"/>
                </c:ext>
              </c:extLst>
            </c:dLbl>
            <c:dLbl>
              <c:idx val="39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1-FAF8-4066-9CA9-88923801AEBA}"/>
                </c:ext>
              </c:extLst>
            </c:dLbl>
            <c:dLbl>
              <c:idx val="39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2-FAF8-4066-9CA9-88923801AEBA}"/>
                </c:ext>
              </c:extLst>
            </c:dLbl>
            <c:dLbl>
              <c:idx val="40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3-FAF8-4066-9CA9-88923801AEBA}"/>
                </c:ext>
              </c:extLst>
            </c:dLbl>
            <c:dLbl>
              <c:idx val="40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4-FAF8-4066-9CA9-88923801AEBA}"/>
                </c:ext>
              </c:extLst>
            </c:dLbl>
            <c:dLbl>
              <c:idx val="40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5-FAF8-4066-9CA9-88923801AEBA}"/>
                </c:ext>
              </c:extLst>
            </c:dLbl>
            <c:dLbl>
              <c:idx val="40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6-FAF8-4066-9CA9-88923801AEBA}"/>
                </c:ext>
              </c:extLst>
            </c:dLbl>
            <c:dLbl>
              <c:idx val="40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7-FAF8-4066-9CA9-88923801AEBA}"/>
                </c:ext>
              </c:extLst>
            </c:dLbl>
            <c:dLbl>
              <c:idx val="40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8-FAF8-4066-9CA9-88923801AEBA}"/>
                </c:ext>
              </c:extLst>
            </c:dLbl>
            <c:dLbl>
              <c:idx val="40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9-FAF8-4066-9CA9-88923801AEBA}"/>
                </c:ext>
              </c:extLst>
            </c:dLbl>
            <c:dLbl>
              <c:idx val="40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A-FAF8-4066-9CA9-88923801AEBA}"/>
                </c:ext>
              </c:extLst>
            </c:dLbl>
            <c:dLbl>
              <c:idx val="40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B-FAF8-4066-9CA9-88923801AEBA}"/>
                </c:ext>
              </c:extLst>
            </c:dLbl>
            <c:dLbl>
              <c:idx val="40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C-FAF8-4066-9CA9-88923801AEBA}"/>
                </c:ext>
              </c:extLst>
            </c:dLbl>
            <c:dLbl>
              <c:idx val="41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D-FAF8-4066-9CA9-88923801AEBA}"/>
                </c:ext>
              </c:extLst>
            </c:dLbl>
            <c:dLbl>
              <c:idx val="41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E-FAF8-4066-9CA9-88923801AEBA}"/>
                </c:ext>
              </c:extLst>
            </c:dLbl>
            <c:dLbl>
              <c:idx val="41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F-FAF8-4066-9CA9-88923801AEBA}"/>
                </c:ext>
              </c:extLst>
            </c:dLbl>
            <c:dLbl>
              <c:idx val="41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0-FAF8-4066-9CA9-88923801AEBA}"/>
                </c:ext>
              </c:extLst>
            </c:dLbl>
            <c:dLbl>
              <c:idx val="41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1-FAF8-4066-9CA9-88923801AEBA}"/>
                </c:ext>
              </c:extLst>
            </c:dLbl>
            <c:dLbl>
              <c:idx val="41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2-FAF8-4066-9CA9-88923801AEBA}"/>
                </c:ext>
              </c:extLst>
            </c:dLbl>
            <c:dLbl>
              <c:idx val="41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3-FAF8-4066-9CA9-88923801AEBA}"/>
                </c:ext>
              </c:extLst>
            </c:dLbl>
            <c:dLbl>
              <c:idx val="41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4-FAF8-4066-9CA9-88923801AEBA}"/>
                </c:ext>
              </c:extLst>
            </c:dLbl>
            <c:dLbl>
              <c:idx val="41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5-FAF8-4066-9CA9-88923801AEBA}"/>
                </c:ext>
              </c:extLst>
            </c:dLbl>
            <c:dLbl>
              <c:idx val="41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6-FAF8-4066-9CA9-88923801AEBA}"/>
                </c:ext>
              </c:extLst>
            </c:dLbl>
            <c:dLbl>
              <c:idx val="42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7-FAF8-4066-9CA9-88923801AEBA}"/>
                </c:ext>
              </c:extLst>
            </c:dLbl>
            <c:dLbl>
              <c:idx val="42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8-FAF8-4066-9CA9-88923801AEBA}"/>
                </c:ext>
              </c:extLst>
            </c:dLbl>
            <c:dLbl>
              <c:idx val="42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9-FAF8-4066-9CA9-88923801AEBA}"/>
                </c:ext>
              </c:extLst>
            </c:dLbl>
            <c:dLbl>
              <c:idx val="42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A-FAF8-4066-9CA9-88923801AEBA}"/>
                </c:ext>
              </c:extLst>
            </c:dLbl>
            <c:dLbl>
              <c:idx val="42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B-FAF8-4066-9CA9-88923801AEBA}"/>
                </c:ext>
              </c:extLst>
            </c:dLbl>
            <c:dLbl>
              <c:idx val="42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C-FAF8-4066-9CA9-88923801AEBA}"/>
                </c:ext>
              </c:extLst>
            </c:dLbl>
            <c:dLbl>
              <c:idx val="42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D-FAF8-4066-9CA9-88923801AEBA}"/>
                </c:ext>
              </c:extLst>
            </c:dLbl>
            <c:dLbl>
              <c:idx val="42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E-FAF8-4066-9CA9-88923801AEBA}"/>
                </c:ext>
              </c:extLst>
            </c:dLbl>
            <c:dLbl>
              <c:idx val="42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F-FAF8-4066-9CA9-88923801AEBA}"/>
                </c:ext>
              </c:extLst>
            </c:dLbl>
            <c:dLbl>
              <c:idx val="42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0-FAF8-4066-9CA9-88923801AEBA}"/>
                </c:ext>
              </c:extLst>
            </c:dLbl>
            <c:dLbl>
              <c:idx val="43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1-FAF8-4066-9CA9-88923801AEBA}"/>
                </c:ext>
              </c:extLst>
            </c:dLbl>
            <c:dLbl>
              <c:idx val="43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2-FAF8-4066-9CA9-88923801AEBA}"/>
                </c:ext>
              </c:extLst>
            </c:dLbl>
            <c:dLbl>
              <c:idx val="43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3-FAF8-4066-9CA9-88923801AEBA}"/>
                </c:ext>
              </c:extLst>
            </c:dLbl>
            <c:dLbl>
              <c:idx val="43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4-FAF8-4066-9CA9-88923801AEBA}"/>
                </c:ext>
              </c:extLst>
            </c:dLbl>
            <c:dLbl>
              <c:idx val="43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5-FAF8-4066-9CA9-88923801AEBA}"/>
                </c:ext>
              </c:extLst>
            </c:dLbl>
            <c:dLbl>
              <c:idx val="43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6-FAF8-4066-9CA9-88923801AEBA}"/>
                </c:ext>
              </c:extLst>
            </c:dLbl>
            <c:dLbl>
              <c:idx val="43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7-FAF8-4066-9CA9-88923801AEBA}"/>
                </c:ext>
              </c:extLst>
            </c:dLbl>
            <c:dLbl>
              <c:idx val="43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8-FAF8-4066-9CA9-88923801AEBA}"/>
                </c:ext>
              </c:extLst>
            </c:dLbl>
            <c:dLbl>
              <c:idx val="43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9-FAF8-4066-9CA9-88923801AEBA}"/>
                </c:ext>
              </c:extLst>
            </c:dLbl>
            <c:dLbl>
              <c:idx val="43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A-FAF8-4066-9CA9-88923801AEBA}"/>
                </c:ext>
              </c:extLst>
            </c:dLbl>
            <c:dLbl>
              <c:idx val="44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B-FAF8-4066-9CA9-88923801AEBA}"/>
                </c:ext>
              </c:extLst>
            </c:dLbl>
            <c:dLbl>
              <c:idx val="44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C-FAF8-4066-9CA9-88923801AEBA}"/>
                </c:ext>
              </c:extLst>
            </c:dLbl>
            <c:dLbl>
              <c:idx val="44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D-FAF8-4066-9CA9-88923801AEBA}"/>
                </c:ext>
              </c:extLst>
            </c:dLbl>
            <c:dLbl>
              <c:idx val="44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E-FAF8-4066-9CA9-88923801AEBA}"/>
                </c:ext>
              </c:extLst>
            </c:dLbl>
            <c:dLbl>
              <c:idx val="44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F-FAF8-4066-9CA9-88923801AEBA}"/>
                </c:ext>
              </c:extLst>
            </c:dLbl>
            <c:dLbl>
              <c:idx val="44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0-FAF8-4066-9CA9-88923801AEBA}"/>
                </c:ext>
              </c:extLst>
            </c:dLbl>
            <c:dLbl>
              <c:idx val="44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1-FAF8-4066-9CA9-88923801AEBA}"/>
                </c:ext>
              </c:extLst>
            </c:dLbl>
            <c:dLbl>
              <c:idx val="44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2-FAF8-4066-9CA9-88923801AEBA}"/>
                </c:ext>
              </c:extLst>
            </c:dLbl>
            <c:dLbl>
              <c:idx val="44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3-FAF8-4066-9CA9-88923801AEBA}"/>
                </c:ext>
              </c:extLst>
            </c:dLbl>
            <c:dLbl>
              <c:idx val="44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4-FAF8-4066-9CA9-88923801AEBA}"/>
                </c:ext>
              </c:extLst>
            </c:dLbl>
            <c:dLbl>
              <c:idx val="45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5-FAF8-4066-9CA9-88923801AEBA}"/>
                </c:ext>
              </c:extLst>
            </c:dLbl>
            <c:dLbl>
              <c:idx val="45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6-FAF8-4066-9CA9-88923801AEBA}"/>
                </c:ext>
              </c:extLst>
            </c:dLbl>
            <c:dLbl>
              <c:idx val="45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7-FAF8-4066-9CA9-88923801AEBA}"/>
                </c:ext>
              </c:extLst>
            </c:dLbl>
            <c:dLbl>
              <c:idx val="45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8-FAF8-4066-9CA9-88923801AEBA}"/>
                </c:ext>
              </c:extLst>
            </c:dLbl>
            <c:dLbl>
              <c:idx val="45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9-FAF8-4066-9CA9-88923801AEBA}"/>
                </c:ext>
              </c:extLst>
            </c:dLbl>
            <c:dLbl>
              <c:idx val="45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A-FAF8-4066-9CA9-88923801AEBA}"/>
                </c:ext>
              </c:extLst>
            </c:dLbl>
            <c:dLbl>
              <c:idx val="45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B-FAF8-4066-9CA9-88923801AEBA}"/>
                </c:ext>
              </c:extLst>
            </c:dLbl>
            <c:dLbl>
              <c:idx val="45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C-FAF8-4066-9CA9-88923801AEBA}"/>
                </c:ext>
              </c:extLst>
            </c:dLbl>
            <c:dLbl>
              <c:idx val="45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D-FAF8-4066-9CA9-88923801AEBA}"/>
                </c:ext>
              </c:extLst>
            </c:dLbl>
            <c:dLbl>
              <c:idx val="45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E-FAF8-4066-9CA9-88923801AEBA}"/>
                </c:ext>
              </c:extLst>
            </c:dLbl>
            <c:dLbl>
              <c:idx val="46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F-FAF8-4066-9CA9-88923801AEBA}"/>
                </c:ext>
              </c:extLst>
            </c:dLbl>
            <c:dLbl>
              <c:idx val="46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0-FAF8-4066-9CA9-88923801AEBA}"/>
                </c:ext>
              </c:extLst>
            </c:dLbl>
            <c:dLbl>
              <c:idx val="46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1-FAF8-4066-9CA9-88923801AEBA}"/>
                </c:ext>
              </c:extLst>
            </c:dLbl>
            <c:dLbl>
              <c:idx val="46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2-FAF8-4066-9CA9-88923801AEBA}"/>
                </c:ext>
              </c:extLst>
            </c:dLbl>
            <c:dLbl>
              <c:idx val="46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3-FAF8-4066-9CA9-88923801AEBA}"/>
                </c:ext>
              </c:extLst>
            </c:dLbl>
            <c:dLbl>
              <c:idx val="46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4-FAF8-4066-9CA9-88923801AEBA}"/>
                </c:ext>
              </c:extLst>
            </c:dLbl>
            <c:dLbl>
              <c:idx val="46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5-FAF8-4066-9CA9-88923801AEBA}"/>
                </c:ext>
              </c:extLst>
            </c:dLbl>
            <c:dLbl>
              <c:idx val="46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6-FAF8-4066-9CA9-88923801AEBA}"/>
                </c:ext>
              </c:extLst>
            </c:dLbl>
            <c:dLbl>
              <c:idx val="46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7-FAF8-4066-9CA9-88923801AEBA}"/>
                </c:ext>
              </c:extLst>
            </c:dLbl>
            <c:dLbl>
              <c:idx val="46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8-FAF8-4066-9CA9-88923801AEBA}"/>
                </c:ext>
              </c:extLst>
            </c:dLbl>
            <c:dLbl>
              <c:idx val="47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9-FAF8-4066-9CA9-88923801AEBA}"/>
                </c:ext>
              </c:extLst>
            </c:dLbl>
            <c:dLbl>
              <c:idx val="47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A-FAF8-4066-9CA9-88923801AEBA}"/>
                </c:ext>
              </c:extLst>
            </c:dLbl>
            <c:dLbl>
              <c:idx val="47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B-FAF8-4066-9CA9-88923801AEBA}"/>
                </c:ext>
              </c:extLst>
            </c:dLbl>
            <c:dLbl>
              <c:idx val="47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C-FAF8-4066-9CA9-88923801AEBA}"/>
                </c:ext>
              </c:extLst>
            </c:dLbl>
            <c:dLbl>
              <c:idx val="47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D-FAF8-4066-9CA9-88923801AEBA}"/>
                </c:ext>
              </c:extLst>
            </c:dLbl>
            <c:dLbl>
              <c:idx val="47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E-FAF8-4066-9CA9-88923801AEBA}"/>
                </c:ext>
              </c:extLst>
            </c:dLbl>
            <c:dLbl>
              <c:idx val="47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F-FAF8-4066-9CA9-88923801AEBA}"/>
                </c:ext>
              </c:extLst>
            </c:dLbl>
            <c:dLbl>
              <c:idx val="47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D0-FAF8-4066-9CA9-88923801AEBA}"/>
                </c:ext>
              </c:extLst>
            </c:dLbl>
            <c:dLbl>
              <c:idx val="47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D1-FAF8-4066-9CA9-88923801AEBA}"/>
                </c:ext>
              </c:extLst>
            </c:dLbl>
            <c:dLbl>
              <c:idx val="47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D2-FAF8-4066-9CA9-88923801AEBA}"/>
                </c:ext>
              </c:extLst>
            </c:dLbl>
            <c:dLbl>
              <c:idx val="48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D3-FAF8-4066-9CA9-88923801AEBA}"/>
                </c:ext>
              </c:extLst>
            </c:dLbl>
            <c:dLbl>
              <c:idx val="48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D4-FAF8-4066-9CA9-88923801AEBA}"/>
                </c:ext>
              </c:extLst>
            </c:dLbl>
            <c:dLbl>
              <c:idx val="48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D5-FAF8-4066-9CA9-88923801AEBA}"/>
                </c:ext>
              </c:extLst>
            </c:dLbl>
            <c:dLbl>
              <c:idx val="48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D6-FAF8-4066-9CA9-88923801AEBA}"/>
                </c:ext>
              </c:extLst>
            </c:dLbl>
            <c:dLbl>
              <c:idx val="48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D7-FAF8-4066-9CA9-88923801AEBA}"/>
                </c:ext>
              </c:extLst>
            </c:dLbl>
            <c:dLbl>
              <c:idx val="48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D8-FAF8-4066-9CA9-88923801AEBA}"/>
                </c:ext>
              </c:extLst>
            </c:dLbl>
            <c:dLbl>
              <c:idx val="48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D9-FAF8-4066-9CA9-88923801AEBA}"/>
                </c:ext>
              </c:extLst>
            </c:dLbl>
            <c:dLbl>
              <c:idx val="48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DA-FAF8-4066-9CA9-88923801AEBA}"/>
                </c:ext>
              </c:extLst>
            </c:dLbl>
            <c:dLbl>
              <c:idx val="48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DB-FAF8-4066-9CA9-88923801AEBA}"/>
                </c:ext>
              </c:extLst>
            </c:dLbl>
            <c:dLbl>
              <c:idx val="48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DC-FAF8-4066-9CA9-88923801AEBA}"/>
                </c:ext>
              </c:extLst>
            </c:dLbl>
            <c:dLbl>
              <c:idx val="49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DD-FAF8-4066-9CA9-88923801AEBA}"/>
                </c:ext>
              </c:extLst>
            </c:dLbl>
            <c:dLbl>
              <c:idx val="49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DE-FAF8-4066-9CA9-88923801AEBA}"/>
                </c:ext>
              </c:extLst>
            </c:dLbl>
            <c:dLbl>
              <c:idx val="49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DF-FAF8-4066-9CA9-88923801AEBA}"/>
                </c:ext>
              </c:extLst>
            </c:dLbl>
            <c:dLbl>
              <c:idx val="49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E0-FAF8-4066-9CA9-88923801AEBA}"/>
                </c:ext>
              </c:extLst>
            </c:dLbl>
            <c:dLbl>
              <c:idx val="49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1-3CE8-44EB-95D7-C7907152AF3C}"/>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lumMod val="75000"/>
                        <a:lumOff val="25000"/>
                      </a:schemeClr>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'Gamma_self Calc'!$D$40:$D$534</c:f>
              <c:numCache>
                <c:formatCode>General</c:formatCode>
                <c:ptCount val="495"/>
                <c:pt idx="0">
                  <c:v>7.98</c:v>
                </c:pt>
                <c:pt idx="1">
                  <c:v>15.16</c:v>
                </c:pt>
                <c:pt idx="2">
                  <c:v>23.14</c:v>
                </c:pt>
                <c:pt idx="3">
                  <c:v>30.32</c:v>
                </c:pt>
                <c:pt idx="4">
                  <c:v>38.799999999999997</c:v>
                </c:pt>
                <c:pt idx="5">
                  <c:v>46.78</c:v>
                </c:pt>
                <c:pt idx="6">
                  <c:v>55.06</c:v>
                </c:pt>
                <c:pt idx="7">
                  <c:v>63.34</c:v>
                </c:pt>
                <c:pt idx="8">
                  <c:v>71.12</c:v>
                </c:pt>
                <c:pt idx="9">
                  <c:v>79.7</c:v>
                </c:pt>
                <c:pt idx="10">
                  <c:v>88.28</c:v>
                </c:pt>
                <c:pt idx="11">
                  <c:v>96.36</c:v>
                </c:pt>
                <c:pt idx="12">
                  <c:v>104.44</c:v>
                </c:pt>
                <c:pt idx="13">
                  <c:v>112.52</c:v>
                </c:pt>
                <c:pt idx="14">
                  <c:v>120.1</c:v>
                </c:pt>
                <c:pt idx="15">
                  <c:v>127.68</c:v>
                </c:pt>
                <c:pt idx="16">
                  <c:v>135.26</c:v>
                </c:pt>
                <c:pt idx="17">
                  <c:v>142.54</c:v>
                </c:pt>
                <c:pt idx="18">
                  <c:v>149.52000000000001</c:v>
                </c:pt>
                <c:pt idx="19">
                  <c:v>156.5</c:v>
                </c:pt>
                <c:pt idx="20">
                  <c:v>163.47999999999999</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pt idx="402">
                  <c:v>#N/A</c:v>
                </c:pt>
                <c:pt idx="403">
                  <c:v>#N/A</c:v>
                </c:pt>
                <c:pt idx="404">
                  <c:v>#N/A</c:v>
                </c:pt>
                <c:pt idx="405">
                  <c:v>#N/A</c:v>
                </c:pt>
                <c:pt idx="406">
                  <c:v>#N/A</c:v>
                </c:pt>
                <c:pt idx="407">
                  <c:v>#N/A</c:v>
                </c:pt>
                <c:pt idx="408">
                  <c:v>#N/A</c:v>
                </c:pt>
                <c:pt idx="409">
                  <c:v>#N/A</c:v>
                </c:pt>
                <c:pt idx="410">
                  <c:v>#N/A</c:v>
                </c:pt>
                <c:pt idx="411">
                  <c:v>#N/A</c:v>
                </c:pt>
                <c:pt idx="412">
                  <c:v>#N/A</c:v>
                </c:pt>
                <c:pt idx="413">
                  <c:v>#N/A</c:v>
                </c:pt>
                <c:pt idx="414">
                  <c:v>#N/A</c:v>
                </c:pt>
                <c:pt idx="415">
                  <c:v>#N/A</c:v>
                </c:pt>
                <c:pt idx="416">
                  <c:v>#N/A</c:v>
                </c:pt>
                <c:pt idx="417">
                  <c:v>#N/A</c:v>
                </c:pt>
                <c:pt idx="418">
                  <c:v>#N/A</c:v>
                </c:pt>
                <c:pt idx="419">
                  <c:v>#N/A</c:v>
                </c:pt>
                <c:pt idx="420">
                  <c:v>#N/A</c:v>
                </c:pt>
                <c:pt idx="421">
                  <c:v>#N/A</c:v>
                </c:pt>
                <c:pt idx="422">
                  <c:v>#N/A</c:v>
                </c:pt>
                <c:pt idx="423">
                  <c:v>#N/A</c:v>
                </c:pt>
                <c:pt idx="424">
                  <c:v>#N/A</c:v>
                </c:pt>
                <c:pt idx="425">
                  <c:v>#N/A</c:v>
                </c:pt>
                <c:pt idx="426">
                  <c:v>#N/A</c:v>
                </c:pt>
                <c:pt idx="427">
                  <c:v>#N/A</c:v>
                </c:pt>
                <c:pt idx="428">
                  <c:v>#N/A</c:v>
                </c:pt>
                <c:pt idx="429">
                  <c:v>#N/A</c:v>
                </c:pt>
                <c:pt idx="430">
                  <c:v>#N/A</c:v>
                </c:pt>
                <c:pt idx="431">
                  <c:v>#N/A</c:v>
                </c:pt>
                <c:pt idx="432">
                  <c:v>#N/A</c:v>
                </c:pt>
                <c:pt idx="433">
                  <c:v>#N/A</c:v>
                </c:pt>
                <c:pt idx="434">
                  <c:v>#N/A</c:v>
                </c:pt>
                <c:pt idx="435">
                  <c:v>#N/A</c:v>
                </c:pt>
                <c:pt idx="436">
                  <c:v>#N/A</c:v>
                </c:pt>
                <c:pt idx="437">
                  <c:v>#N/A</c:v>
                </c:pt>
                <c:pt idx="438">
                  <c:v>#N/A</c:v>
                </c:pt>
                <c:pt idx="439">
                  <c:v>#N/A</c:v>
                </c:pt>
                <c:pt idx="440">
                  <c:v>#N/A</c:v>
                </c:pt>
                <c:pt idx="441">
                  <c:v>#N/A</c:v>
                </c:pt>
                <c:pt idx="442">
                  <c:v>#N/A</c:v>
                </c:pt>
                <c:pt idx="443">
                  <c:v>#N/A</c:v>
                </c:pt>
                <c:pt idx="444">
                  <c:v>#N/A</c:v>
                </c:pt>
                <c:pt idx="445">
                  <c:v>#N/A</c:v>
                </c:pt>
                <c:pt idx="446">
                  <c:v>#N/A</c:v>
                </c:pt>
                <c:pt idx="447">
                  <c:v>#N/A</c:v>
                </c:pt>
                <c:pt idx="448">
                  <c:v>#N/A</c:v>
                </c:pt>
                <c:pt idx="449">
                  <c:v>#N/A</c:v>
                </c:pt>
                <c:pt idx="450">
                  <c:v>#N/A</c:v>
                </c:pt>
                <c:pt idx="451">
                  <c:v>#N/A</c:v>
                </c:pt>
                <c:pt idx="452">
                  <c:v>#N/A</c:v>
                </c:pt>
                <c:pt idx="453">
                  <c:v>#N/A</c:v>
                </c:pt>
                <c:pt idx="454">
                  <c:v>#N/A</c:v>
                </c:pt>
                <c:pt idx="455">
                  <c:v>#N/A</c:v>
                </c:pt>
                <c:pt idx="456">
                  <c:v>#N/A</c:v>
                </c:pt>
                <c:pt idx="457">
                  <c:v>#N/A</c:v>
                </c:pt>
                <c:pt idx="458">
                  <c:v>#N/A</c:v>
                </c:pt>
                <c:pt idx="459">
                  <c:v>#N/A</c:v>
                </c:pt>
                <c:pt idx="460">
                  <c:v>#N/A</c:v>
                </c:pt>
                <c:pt idx="461">
                  <c:v>#N/A</c:v>
                </c:pt>
                <c:pt idx="462">
                  <c:v>#N/A</c:v>
                </c:pt>
                <c:pt idx="463">
                  <c:v>#N/A</c:v>
                </c:pt>
                <c:pt idx="464">
                  <c:v>#N/A</c:v>
                </c:pt>
                <c:pt idx="465">
                  <c:v>#N/A</c:v>
                </c:pt>
                <c:pt idx="466">
                  <c:v>#N/A</c:v>
                </c:pt>
                <c:pt idx="467">
                  <c:v>#N/A</c:v>
                </c:pt>
                <c:pt idx="468">
                  <c:v>#N/A</c:v>
                </c:pt>
                <c:pt idx="469">
                  <c:v>#N/A</c:v>
                </c:pt>
                <c:pt idx="470">
                  <c:v>#N/A</c:v>
                </c:pt>
                <c:pt idx="471">
                  <c:v>#N/A</c:v>
                </c:pt>
                <c:pt idx="472">
                  <c:v>#N/A</c:v>
                </c:pt>
                <c:pt idx="473">
                  <c:v>#N/A</c:v>
                </c:pt>
                <c:pt idx="474">
                  <c:v>#N/A</c:v>
                </c:pt>
                <c:pt idx="475">
                  <c:v>#N/A</c:v>
                </c:pt>
                <c:pt idx="476">
                  <c:v>#N/A</c:v>
                </c:pt>
                <c:pt idx="477">
                  <c:v>#N/A</c:v>
                </c:pt>
                <c:pt idx="478">
                  <c:v>#N/A</c:v>
                </c:pt>
                <c:pt idx="479">
                  <c:v>#N/A</c:v>
                </c:pt>
                <c:pt idx="480">
                  <c:v>#N/A</c:v>
                </c:pt>
                <c:pt idx="481">
                  <c:v>#N/A</c:v>
                </c:pt>
                <c:pt idx="482">
                  <c:v>#N/A</c:v>
                </c:pt>
                <c:pt idx="483">
                  <c:v>#N/A</c:v>
                </c:pt>
                <c:pt idx="484">
                  <c:v>#N/A</c:v>
                </c:pt>
                <c:pt idx="485">
                  <c:v>#N/A</c:v>
                </c:pt>
                <c:pt idx="486">
                  <c:v>#N/A</c:v>
                </c:pt>
                <c:pt idx="487">
                  <c:v>#N/A</c:v>
                </c:pt>
                <c:pt idx="488">
                  <c:v>#N/A</c:v>
                </c:pt>
                <c:pt idx="489">
                  <c:v>#N/A</c:v>
                </c:pt>
                <c:pt idx="490">
                  <c:v>#N/A</c:v>
                </c:pt>
                <c:pt idx="491">
                  <c:v>#N/A</c:v>
                </c:pt>
                <c:pt idx="492">
                  <c:v>#N/A</c:v>
                </c:pt>
                <c:pt idx="493">
                  <c:v>#N/A</c:v>
                </c:pt>
                <c:pt idx="494">
                  <c:v>#N/A</c:v>
                </c:pt>
              </c:numCache>
            </c:numRef>
          </c:xVal>
          <c:yVal>
            <c:numRef>
              <c:f>'Gamma_self Calc'!$E$40:$E$534</c:f>
              <c:numCache>
                <c:formatCode>General</c:formatCode>
                <c:ptCount val="495"/>
                <c:pt idx="0">
                  <c:v>18</c:v>
                </c:pt>
                <c:pt idx="1">
                  <c:v>36.58</c:v>
                </c:pt>
                <c:pt idx="2">
                  <c:v>55.16</c:v>
                </c:pt>
                <c:pt idx="3">
                  <c:v>73.739999999999995</c:v>
                </c:pt>
                <c:pt idx="4">
                  <c:v>93.82</c:v>
                </c:pt>
                <c:pt idx="5">
                  <c:v>113</c:v>
                </c:pt>
                <c:pt idx="6">
                  <c:v>131.68</c:v>
                </c:pt>
                <c:pt idx="7">
                  <c:v>149.96</c:v>
                </c:pt>
                <c:pt idx="8">
                  <c:v>167.74</c:v>
                </c:pt>
                <c:pt idx="9">
                  <c:v>183.92</c:v>
                </c:pt>
                <c:pt idx="10">
                  <c:v>201.3</c:v>
                </c:pt>
                <c:pt idx="11">
                  <c:v>217.78</c:v>
                </c:pt>
                <c:pt idx="12">
                  <c:v>235.46</c:v>
                </c:pt>
                <c:pt idx="13">
                  <c:v>253.14</c:v>
                </c:pt>
                <c:pt idx="14">
                  <c:v>270.52</c:v>
                </c:pt>
                <c:pt idx="15">
                  <c:v>287.3</c:v>
                </c:pt>
                <c:pt idx="16">
                  <c:v>305.27999999999997</c:v>
                </c:pt>
                <c:pt idx="17">
                  <c:v>323.56</c:v>
                </c:pt>
                <c:pt idx="18">
                  <c:v>342.74</c:v>
                </c:pt>
                <c:pt idx="19">
                  <c:v>360.72</c:v>
                </c:pt>
                <c:pt idx="20">
                  <c:v>378.7</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pt idx="402">
                  <c:v>#N/A</c:v>
                </c:pt>
                <c:pt idx="403">
                  <c:v>#N/A</c:v>
                </c:pt>
                <c:pt idx="404">
                  <c:v>#N/A</c:v>
                </c:pt>
                <c:pt idx="405">
                  <c:v>#N/A</c:v>
                </c:pt>
                <c:pt idx="406">
                  <c:v>#N/A</c:v>
                </c:pt>
                <c:pt idx="407">
                  <c:v>#N/A</c:v>
                </c:pt>
                <c:pt idx="408">
                  <c:v>#N/A</c:v>
                </c:pt>
                <c:pt idx="409">
                  <c:v>#N/A</c:v>
                </c:pt>
                <c:pt idx="410">
                  <c:v>#N/A</c:v>
                </c:pt>
                <c:pt idx="411">
                  <c:v>#N/A</c:v>
                </c:pt>
                <c:pt idx="412">
                  <c:v>#N/A</c:v>
                </c:pt>
                <c:pt idx="413">
                  <c:v>#N/A</c:v>
                </c:pt>
                <c:pt idx="414">
                  <c:v>#N/A</c:v>
                </c:pt>
                <c:pt idx="415">
                  <c:v>#N/A</c:v>
                </c:pt>
                <c:pt idx="416">
                  <c:v>#N/A</c:v>
                </c:pt>
                <c:pt idx="417">
                  <c:v>#N/A</c:v>
                </c:pt>
                <c:pt idx="418">
                  <c:v>#N/A</c:v>
                </c:pt>
                <c:pt idx="419">
                  <c:v>#N/A</c:v>
                </c:pt>
                <c:pt idx="420">
                  <c:v>#N/A</c:v>
                </c:pt>
                <c:pt idx="421">
                  <c:v>#N/A</c:v>
                </c:pt>
                <c:pt idx="422">
                  <c:v>#N/A</c:v>
                </c:pt>
                <c:pt idx="423">
                  <c:v>#N/A</c:v>
                </c:pt>
                <c:pt idx="424">
                  <c:v>#N/A</c:v>
                </c:pt>
                <c:pt idx="425">
                  <c:v>#N/A</c:v>
                </c:pt>
                <c:pt idx="426">
                  <c:v>#N/A</c:v>
                </c:pt>
                <c:pt idx="427">
                  <c:v>#N/A</c:v>
                </c:pt>
                <c:pt idx="428">
                  <c:v>#N/A</c:v>
                </c:pt>
                <c:pt idx="429">
                  <c:v>#N/A</c:v>
                </c:pt>
                <c:pt idx="430">
                  <c:v>#N/A</c:v>
                </c:pt>
                <c:pt idx="431">
                  <c:v>#N/A</c:v>
                </c:pt>
                <c:pt idx="432">
                  <c:v>#N/A</c:v>
                </c:pt>
                <c:pt idx="433">
                  <c:v>#N/A</c:v>
                </c:pt>
                <c:pt idx="434">
                  <c:v>#N/A</c:v>
                </c:pt>
                <c:pt idx="435">
                  <c:v>#N/A</c:v>
                </c:pt>
                <c:pt idx="436">
                  <c:v>#N/A</c:v>
                </c:pt>
                <c:pt idx="437">
                  <c:v>#N/A</c:v>
                </c:pt>
                <c:pt idx="438">
                  <c:v>#N/A</c:v>
                </c:pt>
                <c:pt idx="439">
                  <c:v>#N/A</c:v>
                </c:pt>
                <c:pt idx="440">
                  <c:v>#N/A</c:v>
                </c:pt>
                <c:pt idx="441">
                  <c:v>#N/A</c:v>
                </c:pt>
                <c:pt idx="442">
                  <c:v>#N/A</c:v>
                </c:pt>
                <c:pt idx="443">
                  <c:v>#N/A</c:v>
                </c:pt>
                <c:pt idx="444">
                  <c:v>#N/A</c:v>
                </c:pt>
                <c:pt idx="445">
                  <c:v>#N/A</c:v>
                </c:pt>
                <c:pt idx="446">
                  <c:v>#N/A</c:v>
                </c:pt>
                <c:pt idx="447">
                  <c:v>#N/A</c:v>
                </c:pt>
                <c:pt idx="448">
                  <c:v>#N/A</c:v>
                </c:pt>
                <c:pt idx="449">
                  <c:v>#N/A</c:v>
                </c:pt>
                <c:pt idx="450">
                  <c:v>#N/A</c:v>
                </c:pt>
                <c:pt idx="451">
                  <c:v>#N/A</c:v>
                </c:pt>
                <c:pt idx="452">
                  <c:v>#N/A</c:v>
                </c:pt>
                <c:pt idx="453">
                  <c:v>#N/A</c:v>
                </c:pt>
                <c:pt idx="454">
                  <c:v>#N/A</c:v>
                </c:pt>
                <c:pt idx="455">
                  <c:v>#N/A</c:v>
                </c:pt>
                <c:pt idx="456">
                  <c:v>#N/A</c:v>
                </c:pt>
                <c:pt idx="457">
                  <c:v>#N/A</c:v>
                </c:pt>
                <c:pt idx="458">
                  <c:v>#N/A</c:v>
                </c:pt>
                <c:pt idx="459">
                  <c:v>#N/A</c:v>
                </c:pt>
                <c:pt idx="460">
                  <c:v>#N/A</c:v>
                </c:pt>
                <c:pt idx="461">
                  <c:v>#N/A</c:v>
                </c:pt>
                <c:pt idx="462">
                  <c:v>#N/A</c:v>
                </c:pt>
                <c:pt idx="463">
                  <c:v>#N/A</c:v>
                </c:pt>
                <c:pt idx="464">
                  <c:v>#N/A</c:v>
                </c:pt>
                <c:pt idx="465">
                  <c:v>#N/A</c:v>
                </c:pt>
                <c:pt idx="466">
                  <c:v>#N/A</c:v>
                </c:pt>
                <c:pt idx="467">
                  <c:v>#N/A</c:v>
                </c:pt>
                <c:pt idx="468">
                  <c:v>#N/A</c:v>
                </c:pt>
                <c:pt idx="469">
                  <c:v>#N/A</c:v>
                </c:pt>
                <c:pt idx="470">
                  <c:v>#N/A</c:v>
                </c:pt>
                <c:pt idx="471">
                  <c:v>#N/A</c:v>
                </c:pt>
                <c:pt idx="472">
                  <c:v>#N/A</c:v>
                </c:pt>
                <c:pt idx="473">
                  <c:v>#N/A</c:v>
                </c:pt>
                <c:pt idx="474">
                  <c:v>#N/A</c:v>
                </c:pt>
                <c:pt idx="475">
                  <c:v>#N/A</c:v>
                </c:pt>
                <c:pt idx="476">
                  <c:v>#N/A</c:v>
                </c:pt>
                <c:pt idx="477">
                  <c:v>#N/A</c:v>
                </c:pt>
                <c:pt idx="478">
                  <c:v>#N/A</c:v>
                </c:pt>
                <c:pt idx="479">
                  <c:v>#N/A</c:v>
                </c:pt>
                <c:pt idx="480">
                  <c:v>#N/A</c:v>
                </c:pt>
                <c:pt idx="481">
                  <c:v>#N/A</c:v>
                </c:pt>
                <c:pt idx="482">
                  <c:v>#N/A</c:v>
                </c:pt>
                <c:pt idx="483">
                  <c:v>#N/A</c:v>
                </c:pt>
                <c:pt idx="484">
                  <c:v>#N/A</c:v>
                </c:pt>
                <c:pt idx="485">
                  <c:v>#N/A</c:v>
                </c:pt>
                <c:pt idx="486">
                  <c:v>#N/A</c:v>
                </c:pt>
                <c:pt idx="487">
                  <c:v>#N/A</c:v>
                </c:pt>
                <c:pt idx="488">
                  <c:v>#N/A</c:v>
                </c:pt>
                <c:pt idx="489">
                  <c:v>#N/A</c:v>
                </c:pt>
                <c:pt idx="490">
                  <c:v>#N/A</c:v>
                </c:pt>
                <c:pt idx="491">
                  <c:v>#N/A</c:v>
                </c:pt>
                <c:pt idx="492">
                  <c:v>#N/A</c:v>
                </c:pt>
                <c:pt idx="493">
                  <c:v>#N/A</c:v>
                </c:pt>
                <c:pt idx="494">
                  <c:v>#N/A</c:v>
                </c:pt>
              </c:numCache>
            </c:numRef>
          </c:yVal>
          <c:smooth val="1"/>
          <c:extLst>
            <c:ext xmlns:c15="http://schemas.microsoft.com/office/drawing/2012/chart" uri="{02D57815-91ED-43cb-92C2-25804820EDAC}">
              <c15:datalabelsRange>
                <c15:f>'Gamma_self Calc'!$B$40:$B$534</c15:f>
                <c15:dlblRangeCache>
                  <c:ptCount val="495"/>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15:dlblRangeCache>
              </c15:datalabelsRange>
            </c:ext>
            <c:ext xmlns:c16="http://schemas.microsoft.com/office/drawing/2014/chart" uri="{C3380CC4-5D6E-409C-BE32-E72D297353CC}">
              <c16:uniqueId val="{00000000-FCAA-48FB-8310-2EF2991A48CE}"/>
            </c:ext>
          </c:extLst>
        </c:ser>
        <c:dLbls>
          <c:showLegendKey val="0"/>
          <c:showVal val="0"/>
          <c:showCatName val="0"/>
          <c:showSerName val="0"/>
          <c:showPercent val="0"/>
          <c:showBubbleSize val="0"/>
        </c:dLbls>
        <c:axId val="1305439903"/>
        <c:axId val="1305440383"/>
      </c:scatterChart>
      <c:valAx>
        <c:axId val="1305439903"/>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&lt;-- Ego/We --&gt;</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5440383"/>
        <c:crosses val="autoZero"/>
        <c:crossBetween val="midCat"/>
      </c:valAx>
      <c:valAx>
        <c:axId val="130544038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&lt;-- Hate/Love --&gt;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5439903"/>
        <c:crosses val="autoZero"/>
        <c:crossBetween val="midCat"/>
      </c:valAx>
      <c:spPr>
        <a:noFill/>
        <a:ln>
          <a:noFill/>
        </a:ln>
        <a:effectLst/>
      </c:spPr>
    </c:plotArea>
    <c:legend>
      <c:legendPos val="r"/>
      <c:layout>
        <c:manualLayout>
          <c:xMode val="edge"/>
          <c:yMode val="edge"/>
          <c:x val="0.60329190948182831"/>
          <c:y val="0.53763315855965543"/>
          <c:w val="0.27030394785630879"/>
          <c:h val="0.15424752403956304"/>
        </c:manualLayout>
      </c:layout>
      <c:overlay val="1"/>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400" b="0" i="0" u="none" strike="noStrike" kern="1200" spc="0" baseline="0">
                <a:solidFill>
                  <a:sysClr val="windowText" lastClr="000000">
                    <a:lumMod val="65000"/>
                    <a:lumOff val="35000"/>
                  </a:sysClr>
                </a:solidFill>
                <a:latin typeface="Symbol" panose="05050102010706020507" pitchFamily="18" charset="2"/>
              </a:rPr>
              <a:t>g</a:t>
            </a:r>
            <a:r>
              <a:rPr lang="en-US" sz="1400" b="0" i="0" u="none" strike="noStrike" kern="1200" spc="0" baseline="-25000">
                <a:solidFill>
                  <a:sysClr val="windowText" lastClr="000000">
                    <a:lumMod val="65000"/>
                    <a:lumOff val="35000"/>
                  </a:sysClr>
                </a:solidFill>
              </a:rPr>
              <a:t>Self</a:t>
            </a:r>
            <a:r>
              <a:rPr lang="en-US" sz="1400" b="0" i="0" u="none" strike="noStrike" kern="1200" spc="0" baseline="0">
                <a:solidFill>
                  <a:sysClr val="windowText" lastClr="000000">
                    <a:lumMod val="65000"/>
                    <a:lumOff val="35000"/>
                  </a:sysClr>
                </a:solidFill>
              </a:rPr>
              <a:t>, Delta Real, Delta Imag, AI Drift Demo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tx>
            <c:strRef>
              <c:f>'Gamma_self Calc'!$F$39</c:f>
              <c:strCache>
                <c:ptCount val="1"/>
                <c:pt idx="0">
                  <c:v>Del(gamma_self_Real)</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dLbls>
            <c:dLbl>
              <c:idx val="0"/>
              <c:tx>
                <c:rich>
                  <a:bodyPr/>
                  <a:lstStyle/>
                  <a:p>
                    <a:fld id="{63F07680-3D6C-493D-B902-4AF1A9FEB2AA}" type="CELLRANGE">
                      <a:rPr lang="en-US"/>
                      <a:pPr/>
                      <a:t>[CELLRANGE]</a:t>
                    </a:fld>
                    <a:endParaRPr lang="en-US"/>
                  </a:p>
                </c:rich>
              </c:tx>
              <c:dLblPos val="b"/>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0C13-4D85-B6EE-DCC0A411AEA1}"/>
                </c:ext>
              </c:extLst>
            </c:dLbl>
            <c:dLbl>
              <c:idx val="1"/>
              <c:tx>
                <c:rich>
                  <a:bodyPr/>
                  <a:lstStyle/>
                  <a:p>
                    <a:fld id="{20276BBB-A0B8-4113-9A81-BDCD257C4A43}" type="CELLRANGE">
                      <a:rPr lang="en-US"/>
                      <a:pPr/>
                      <a:t>[CELLRANGE]</a:t>
                    </a:fld>
                    <a:endParaRPr lang="en-US"/>
                  </a:p>
                </c:rich>
              </c:tx>
              <c:dLblPos val="b"/>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0C13-4D85-B6EE-DCC0A411AEA1}"/>
                </c:ext>
              </c:extLst>
            </c:dLbl>
            <c:dLbl>
              <c:idx val="2"/>
              <c:tx>
                <c:rich>
                  <a:bodyPr/>
                  <a:lstStyle/>
                  <a:p>
                    <a:fld id="{A0AE4999-3EE5-4946-BFB3-A40A83A3D899}" type="CELLRANGE">
                      <a:rPr lang="en-US"/>
                      <a:pPr/>
                      <a:t>[CELLRANGE]</a:t>
                    </a:fld>
                    <a:endParaRPr lang="en-US"/>
                  </a:p>
                </c:rich>
              </c:tx>
              <c:dLblPos val="b"/>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0C13-4D85-B6EE-DCC0A411AEA1}"/>
                </c:ext>
              </c:extLst>
            </c:dLbl>
            <c:dLbl>
              <c:idx val="3"/>
              <c:tx>
                <c:rich>
                  <a:bodyPr/>
                  <a:lstStyle/>
                  <a:p>
                    <a:fld id="{3A743D7B-F2CF-4C42-93F1-C133950F17BD}" type="CELLRANGE">
                      <a:rPr lang="en-US"/>
                      <a:pPr/>
                      <a:t>[CELLRANGE]</a:t>
                    </a:fld>
                    <a:endParaRPr lang="en-US"/>
                  </a:p>
                </c:rich>
              </c:tx>
              <c:dLblPos val="b"/>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0C13-4D85-B6EE-DCC0A411AEA1}"/>
                </c:ext>
              </c:extLst>
            </c:dLbl>
            <c:dLbl>
              <c:idx val="4"/>
              <c:tx>
                <c:rich>
                  <a:bodyPr/>
                  <a:lstStyle/>
                  <a:p>
                    <a:fld id="{A8147254-53EF-4C31-9B72-B4E02E0B806D}" type="CELLRANGE">
                      <a:rPr lang="en-US"/>
                      <a:pPr/>
                      <a:t>[CELLRANGE]</a:t>
                    </a:fld>
                    <a:endParaRPr lang="en-US"/>
                  </a:p>
                </c:rich>
              </c:tx>
              <c:dLblPos val="b"/>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0C13-4D85-B6EE-DCC0A411AEA1}"/>
                </c:ext>
              </c:extLst>
            </c:dLbl>
            <c:dLbl>
              <c:idx val="5"/>
              <c:tx>
                <c:rich>
                  <a:bodyPr/>
                  <a:lstStyle/>
                  <a:p>
                    <a:fld id="{14C849F8-2344-486B-AB5F-933B6641333B}" type="CELLRANGE">
                      <a:rPr lang="en-US"/>
                      <a:pPr/>
                      <a:t>[CELLRANGE]</a:t>
                    </a:fld>
                    <a:endParaRPr lang="en-US"/>
                  </a:p>
                </c:rich>
              </c:tx>
              <c:dLblPos val="b"/>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0C13-4D85-B6EE-DCC0A411AEA1}"/>
                </c:ext>
              </c:extLst>
            </c:dLbl>
            <c:dLbl>
              <c:idx val="6"/>
              <c:tx>
                <c:rich>
                  <a:bodyPr/>
                  <a:lstStyle/>
                  <a:p>
                    <a:fld id="{B6B6B9DB-B65F-4A68-A340-9F4F67762D41}" type="CELLRANGE">
                      <a:rPr lang="en-US"/>
                      <a:pPr/>
                      <a:t>[CELLRANGE]</a:t>
                    </a:fld>
                    <a:endParaRPr lang="en-US"/>
                  </a:p>
                </c:rich>
              </c:tx>
              <c:dLblPos val="b"/>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0C13-4D85-B6EE-DCC0A411AEA1}"/>
                </c:ext>
              </c:extLst>
            </c:dLbl>
            <c:dLbl>
              <c:idx val="7"/>
              <c:tx>
                <c:rich>
                  <a:bodyPr/>
                  <a:lstStyle/>
                  <a:p>
                    <a:fld id="{C58EA860-034E-4282-B298-EDBC00D0AC8C}" type="CELLRANGE">
                      <a:rPr lang="en-US"/>
                      <a:pPr/>
                      <a:t>[CELLRANGE]</a:t>
                    </a:fld>
                    <a:endParaRPr lang="en-US"/>
                  </a:p>
                </c:rich>
              </c:tx>
              <c:dLblPos val="b"/>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0C13-4D85-B6EE-DCC0A411AEA1}"/>
                </c:ext>
              </c:extLst>
            </c:dLbl>
            <c:dLbl>
              <c:idx val="8"/>
              <c:tx>
                <c:rich>
                  <a:bodyPr/>
                  <a:lstStyle/>
                  <a:p>
                    <a:fld id="{3BDD0B5F-F746-49E5-914E-27A0D3094056}" type="CELLRANGE">
                      <a:rPr lang="en-US"/>
                      <a:pPr/>
                      <a:t>[CELLRANGE]</a:t>
                    </a:fld>
                    <a:endParaRPr lang="en-US"/>
                  </a:p>
                </c:rich>
              </c:tx>
              <c:dLblPos val="b"/>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0C13-4D85-B6EE-DCC0A411AEA1}"/>
                </c:ext>
              </c:extLst>
            </c:dLbl>
            <c:dLbl>
              <c:idx val="9"/>
              <c:tx>
                <c:rich>
                  <a:bodyPr/>
                  <a:lstStyle/>
                  <a:p>
                    <a:fld id="{7DE8C715-B5EA-4C99-B035-EDAB9A40092D}" type="CELLRANGE">
                      <a:rPr lang="en-US"/>
                      <a:pPr/>
                      <a:t>[CELLRANGE]</a:t>
                    </a:fld>
                    <a:endParaRPr lang="en-US"/>
                  </a:p>
                </c:rich>
              </c:tx>
              <c:dLblPos val="b"/>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B-0C13-4D85-B6EE-DCC0A411AEA1}"/>
                </c:ext>
              </c:extLst>
            </c:dLbl>
            <c:dLbl>
              <c:idx val="10"/>
              <c:tx>
                <c:rich>
                  <a:bodyPr/>
                  <a:lstStyle/>
                  <a:p>
                    <a:fld id="{D69A2E9E-C39F-464A-99F3-7335DF530FA4}" type="CELLRANGE">
                      <a:rPr lang="en-US"/>
                      <a:pPr/>
                      <a:t>[CELLRANGE]</a:t>
                    </a:fld>
                    <a:endParaRPr lang="en-US"/>
                  </a:p>
                </c:rich>
              </c:tx>
              <c:dLblPos val="b"/>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0C13-4D85-B6EE-DCC0A411AEA1}"/>
                </c:ext>
              </c:extLst>
            </c:dLbl>
            <c:dLbl>
              <c:idx val="11"/>
              <c:tx>
                <c:rich>
                  <a:bodyPr/>
                  <a:lstStyle/>
                  <a:p>
                    <a:fld id="{44C726F4-8088-4A58-916D-D8E4E9C449BB}" type="CELLRANGE">
                      <a:rPr lang="en-US"/>
                      <a:pPr/>
                      <a:t>[CELLRANGE]</a:t>
                    </a:fld>
                    <a:endParaRPr lang="en-US"/>
                  </a:p>
                </c:rich>
              </c:tx>
              <c:dLblPos val="b"/>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D-0C13-4D85-B6EE-DCC0A411AEA1}"/>
                </c:ext>
              </c:extLst>
            </c:dLbl>
            <c:dLbl>
              <c:idx val="12"/>
              <c:tx>
                <c:rich>
                  <a:bodyPr/>
                  <a:lstStyle/>
                  <a:p>
                    <a:fld id="{0D9639E1-E567-401D-A00E-9ECD308F8D5F}" type="CELLRANGE">
                      <a:rPr lang="en-US"/>
                      <a:pPr/>
                      <a:t>[CELLRANGE]</a:t>
                    </a:fld>
                    <a:endParaRPr lang="en-US"/>
                  </a:p>
                </c:rich>
              </c:tx>
              <c:dLblPos val="b"/>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E-0C13-4D85-B6EE-DCC0A411AEA1}"/>
                </c:ext>
              </c:extLst>
            </c:dLbl>
            <c:dLbl>
              <c:idx val="13"/>
              <c:tx>
                <c:rich>
                  <a:bodyPr/>
                  <a:lstStyle/>
                  <a:p>
                    <a:fld id="{94A06CF8-0C75-440B-A8E2-146885631887}" type="CELLRANGE">
                      <a:rPr lang="en-US"/>
                      <a:pPr/>
                      <a:t>[CELLRANGE]</a:t>
                    </a:fld>
                    <a:endParaRPr lang="en-US"/>
                  </a:p>
                </c:rich>
              </c:tx>
              <c:dLblPos val="b"/>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F-0C13-4D85-B6EE-DCC0A411AEA1}"/>
                </c:ext>
              </c:extLst>
            </c:dLbl>
            <c:dLbl>
              <c:idx val="14"/>
              <c:tx>
                <c:rich>
                  <a:bodyPr/>
                  <a:lstStyle/>
                  <a:p>
                    <a:fld id="{8F4D38DD-F9E4-4BDF-95FD-B6D84683CF55}" type="CELLRANGE">
                      <a:rPr lang="en-US"/>
                      <a:pPr/>
                      <a:t>[CELLRANGE]</a:t>
                    </a:fld>
                    <a:endParaRPr lang="en-US"/>
                  </a:p>
                </c:rich>
              </c:tx>
              <c:dLblPos val="b"/>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0-0C13-4D85-B6EE-DCC0A411AEA1}"/>
                </c:ext>
              </c:extLst>
            </c:dLbl>
            <c:dLbl>
              <c:idx val="15"/>
              <c:tx>
                <c:rich>
                  <a:bodyPr/>
                  <a:lstStyle/>
                  <a:p>
                    <a:fld id="{879CD027-CE8E-44FE-AB2E-D8BFD5ABAC55}" type="CELLRANGE">
                      <a:rPr lang="en-US"/>
                      <a:pPr/>
                      <a:t>[CELLRANGE]</a:t>
                    </a:fld>
                    <a:endParaRPr lang="en-US"/>
                  </a:p>
                </c:rich>
              </c:tx>
              <c:dLblPos val="b"/>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1-0C13-4D85-B6EE-DCC0A411AEA1}"/>
                </c:ext>
              </c:extLst>
            </c:dLbl>
            <c:dLbl>
              <c:idx val="16"/>
              <c:tx>
                <c:rich>
                  <a:bodyPr/>
                  <a:lstStyle/>
                  <a:p>
                    <a:fld id="{B6AB3634-6CC4-4310-9EEB-BACA42D25811}" type="CELLRANGE">
                      <a:rPr lang="en-US"/>
                      <a:pPr/>
                      <a:t>[CELLRANGE]</a:t>
                    </a:fld>
                    <a:endParaRPr lang="en-US"/>
                  </a:p>
                </c:rich>
              </c:tx>
              <c:dLblPos val="b"/>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2-0C13-4D85-B6EE-DCC0A411AEA1}"/>
                </c:ext>
              </c:extLst>
            </c:dLbl>
            <c:dLbl>
              <c:idx val="17"/>
              <c:tx>
                <c:rich>
                  <a:bodyPr/>
                  <a:lstStyle/>
                  <a:p>
                    <a:fld id="{587F6F0E-F967-436C-9D45-FFAF5EEB68DD}" type="CELLRANGE">
                      <a:rPr lang="en-US"/>
                      <a:pPr/>
                      <a:t>[CELLRANGE]</a:t>
                    </a:fld>
                    <a:endParaRPr lang="en-US"/>
                  </a:p>
                </c:rich>
              </c:tx>
              <c:dLblPos val="b"/>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3-0C13-4D85-B6EE-DCC0A411AEA1}"/>
                </c:ext>
              </c:extLst>
            </c:dLbl>
            <c:dLbl>
              <c:idx val="18"/>
              <c:tx>
                <c:rich>
                  <a:bodyPr/>
                  <a:lstStyle/>
                  <a:p>
                    <a:fld id="{506987A4-2C74-4CE0-86FD-A2A5EE9EC4AF}" type="CELLRANGE">
                      <a:rPr lang="en-US"/>
                      <a:pPr/>
                      <a:t>[CELLRANGE]</a:t>
                    </a:fld>
                    <a:endParaRPr lang="en-US"/>
                  </a:p>
                </c:rich>
              </c:tx>
              <c:dLblPos val="b"/>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4-0C13-4D85-B6EE-DCC0A411AEA1}"/>
                </c:ext>
              </c:extLst>
            </c:dLbl>
            <c:dLbl>
              <c:idx val="19"/>
              <c:tx>
                <c:rich>
                  <a:bodyPr/>
                  <a:lstStyle/>
                  <a:p>
                    <a:fld id="{F9C86726-7025-4981-848F-95796E0630BB}" type="CELLRANGE">
                      <a:rPr lang="en-US"/>
                      <a:pPr/>
                      <a:t>[CELLRANGE]</a:t>
                    </a:fld>
                    <a:endParaRPr lang="en-US"/>
                  </a:p>
                </c:rich>
              </c:tx>
              <c:dLblPos val="b"/>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5-0C13-4D85-B6EE-DCC0A411AEA1}"/>
                </c:ext>
              </c:extLst>
            </c:dLbl>
            <c:dLbl>
              <c:idx val="20"/>
              <c:tx>
                <c:rich>
                  <a:bodyPr/>
                  <a:lstStyle/>
                  <a:p>
                    <a:fld id="{7B4B15E2-6931-4A0D-9BD1-F02A8DA5DFE3}" type="CELLRANGE">
                      <a:rPr lang="en-US"/>
                      <a:pPr/>
                      <a:t>[CELLRANGE]</a:t>
                    </a:fld>
                    <a:endParaRPr lang="en-US"/>
                  </a:p>
                </c:rich>
              </c:tx>
              <c:dLblPos val="b"/>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6-0C13-4D85-B6EE-DCC0A411AEA1}"/>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'Gamma_self Calc'!$B$40:$B$60</c:f>
              <c:numCache>
                <c:formatCode>General</c:formatCode>
                <c:ptCount val="2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numCache>
            </c:numRef>
          </c:xVal>
          <c:yVal>
            <c:numRef>
              <c:f>'Gamma_self Calc'!$F$40:$F$60</c:f>
              <c:numCache>
                <c:formatCode>General</c:formatCode>
                <c:ptCount val="21"/>
                <c:pt idx="0">
                  <c:v>7.18</c:v>
                </c:pt>
                <c:pt idx="1">
                  <c:v>7.18</c:v>
                </c:pt>
                <c:pt idx="2">
                  <c:v>7.98</c:v>
                </c:pt>
                <c:pt idx="3">
                  <c:v>7.18</c:v>
                </c:pt>
                <c:pt idx="4">
                  <c:v>8.4799999999999969</c:v>
                </c:pt>
                <c:pt idx="5">
                  <c:v>7.980000000000004</c:v>
                </c:pt>
                <c:pt idx="6">
                  <c:v>8.2800000000000011</c:v>
                </c:pt>
                <c:pt idx="7">
                  <c:v>8.2800000000000011</c:v>
                </c:pt>
                <c:pt idx="8">
                  <c:v>7.7800000000000011</c:v>
                </c:pt>
                <c:pt idx="9">
                  <c:v>8.5799999999999983</c:v>
                </c:pt>
                <c:pt idx="10">
                  <c:v>8.5799999999999983</c:v>
                </c:pt>
                <c:pt idx="11">
                  <c:v>8.0799999999999983</c:v>
                </c:pt>
                <c:pt idx="12">
                  <c:v>8.0799999999999983</c:v>
                </c:pt>
                <c:pt idx="13">
                  <c:v>8.0799999999999983</c:v>
                </c:pt>
                <c:pt idx="14">
                  <c:v>7.5799999999999983</c:v>
                </c:pt>
                <c:pt idx="15">
                  <c:v>7.5800000000000125</c:v>
                </c:pt>
                <c:pt idx="16">
                  <c:v>7.5799999999999841</c:v>
                </c:pt>
                <c:pt idx="17">
                  <c:v>7.2800000000000011</c:v>
                </c:pt>
                <c:pt idx="18">
                  <c:v>6.9800000000000182</c:v>
                </c:pt>
                <c:pt idx="19">
                  <c:v>6.9799999999999898</c:v>
                </c:pt>
                <c:pt idx="20">
                  <c:v>6.9799999999999898</c:v>
                </c:pt>
              </c:numCache>
            </c:numRef>
          </c:yVal>
          <c:smooth val="1"/>
          <c:extLst>
            <c:ext xmlns:c15="http://schemas.microsoft.com/office/drawing/2012/chart" uri="{02D57815-91ED-43cb-92C2-25804820EDAC}">
              <c15:datalabelsRange>
                <c15:f>'Gamma_self Calc'!$B$40:$B$60</c15:f>
                <c15:dlblRangeCache>
                  <c:ptCount val="2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15:dlblRangeCache>
              </c15:datalabelsRange>
            </c:ext>
            <c:ext xmlns:c16="http://schemas.microsoft.com/office/drawing/2014/chart" uri="{C3380CC4-5D6E-409C-BE32-E72D297353CC}">
              <c16:uniqueId val="{00000000-0C13-4D85-B6EE-DCC0A411AEA1}"/>
            </c:ext>
          </c:extLst>
        </c:ser>
        <c:ser>
          <c:idx val="1"/>
          <c:order val="1"/>
          <c:tx>
            <c:strRef>
              <c:f>'Gamma_self Calc'!$G$39</c:f>
              <c:strCache>
                <c:ptCount val="1"/>
                <c:pt idx="0">
                  <c:v>Del(gamma_self_Imag)</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dLbls>
            <c:dLbl>
              <c:idx val="0"/>
              <c:tx>
                <c:rich>
                  <a:bodyPr/>
                  <a:lstStyle/>
                  <a:p>
                    <a:fld id="{7F727193-FCF2-41B4-B68E-F5484ABE03BB}"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7-0C13-4D85-B6EE-DCC0A411AEA1}"/>
                </c:ext>
              </c:extLst>
            </c:dLbl>
            <c:dLbl>
              <c:idx val="1"/>
              <c:tx>
                <c:rich>
                  <a:bodyPr/>
                  <a:lstStyle/>
                  <a:p>
                    <a:fld id="{6BCC2D61-11B4-4133-8B5E-F6BF5898EDE1}"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8-0C13-4D85-B6EE-DCC0A411AEA1}"/>
                </c:ext>
              </c:extLst>
            </c:dLbl>
            <c:dLbl>
              <c:idx val="2"/>
              <c:tx>
                <c:rich>
                  <a:bodyPr/>
                  <a:lstStyle/>
                  <a:p>
                    <a:fld id="{8739A0C1-52C3-4A4E-9B8D-585C6EA0D731}"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9-0C13-4D85-B6EE-DCC0A411AEA1}"/>
                </c:ext>
              </c:extLst>
            </c:dLbl>
            <c:dLbl>
              <c:idx val="3"/>
              <c:tx>
                <c:rich>
                  <a:bodyPr/>
                  <a:lstStyle/>
                  <a:p>
                    <a:fld id="{46C96A4F-DAC9-4935-A7D0-4F3EC52EE9BF}"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A-0C13-4D85-B6EE-DCC0A411AEA1}"/>
                </c:ext>
              </c:extLst>
            </c:dLbl>
            <c:dLbl>
              <c:idx val="4"/>
              <c:tx>
                <c:rich>
                  <a:bodyPr/>
                  <a:lstStyle/>
                  <a:p>
                    <a:fld id="{6A6533E8-8435-4602-9F51-8C10ACF1C021}"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B-0C13-4D85-B6EE-DCC0A411AEA1}"/>
                </c:ext>
              </c:extLst>
            </c:dLbl>
            <c:dLbl>
              <c:idx val="5"/>
              <c:tx>
                <c:rich>
                  <a:bodyPr/>
                  <a:lstStyle/>
                  <a:p>
                    <a:fld id="{76B1E652-93D0-4FAA-B5F5-361C23EC4057}"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C-0C13-4D85-B6EE-DCC0A411AEA1}"/>
                </c:ext>
              </c:extLst>
            </c:dLbl>
            <c:dLbl>
              <c:idx val="6"/>
              <c:tx>
                <c:rich>
                  <a:bodyPr/>
                  <a:lstStyle/>
                  <a:p>
                    <a:fld id="{9D073022-9F7A-48B4-B293-3A82D2671101}"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D-0C13-4D85-B6EE-DCC0A411AEA1}"/>
                </c:ext>
              </c:extLst>
            </c:dLbl>
            <c:dLbl>
              <c:idx val="7"/>
              <c:tx>
                <c:rich>
                  <a:bodyPr/>
                  <a:lstStyle/>
                  <a:p>
                    <a:fld id="{057F2F91-CCB2-46F6-A62C-9097E9D8512F}"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E-0C13-4D85-B6EE-DCC0A411AEA1}"/>
                </c:ext>
              </c:extLst>
            </c:dLbl>
            <c:dLbl>
              <c:idx val="8"/>
              <c:tx>
                <c:rich>
                  <a:bodyPr/>
                  <a:lstStyle/>
                  <a:p>
                    <a:fld id="{D6453990-B9BD-4213-B1C6-3839BFA81EB3}"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F-0C13-4D85-B6EE-DCC0A411AEA1}"/>
                </c:ext>
              </c:extLst>
            </c:dLbl>
            <c:dLbl>
              <c:idx val="9"/>
              <c:tx>
                <c:rich>
                  <a:bodyPr/>
                  <a:lstStyle/>
                  <a:p>
                    <a:fld id="{F06A0A69-CF5A-4C60-9ACA-DE428DA1BB08}"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0-0C13-4D85-B6EE-DCC0A411AEA1}"/>
                </c:ext>
              </c:extLst>
            </c:dLbl>
            <c:dLbl>
              <c:idx val="10"/>
              <c:tx>
                <c:rich>
                  <a:bodyPr/>
                  <a:lstStyle/>
                  <a:p>
                    <a:fld id="{8CA2E7C5-4991-4672-AB5C-0D04D9D1B4E0}"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1-0C13-4D85-B6EE-DCC0A411AEA1}"/>
                </c:ext>
              </c:extLst>
            </c:dLbl>
            <c:dLbl>
              <c:idx val="11"/>
              <c:tx>
                <c:rich>
                  <a:bodyPr/>
                  <a:lstStyle/>
                  <a:p>
                    <a:fld id="{29F8CDDF-2BD5-42C3-881C-5FC65DC5B742}"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2-0C13-4D85-B6EE-DCC0A411AEA1}"/>
                </c:ext>
              </c:extLst>
            </c:dLbl>
            <c:dLbl>
              <c:idx val="12"/>
              <c:tx>
                <c:rich>
                  <a:bodyPr/>
                  <a:lstStyle/>
                  <a:p>
                    <a:fld id="{5B7E91FB-E67A-4D26-941D-DA431E36D6F6}"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3-0C13-4D85-B6EE-DCC0A411AEA1}"/>
                </c:ext>
              </c:extLst>
            </c:dLbl>
            <c:dLbl>
              <c:idx val="13"/>
              <c:tx>
                <c:rich>
                  <a:bodyPr/>
                  <a:lstStyle/>
                  <a:p>
                    <a:fld id="{D902C5BC-F051-4ADC-ADD1-0B5E831A0712}"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4-0C13-4D85-B6EE-DCC0A411AEA1}"/>
                </c:ext>
              </c:extLst>
            </c:dLbl>
            <c:dLbl>
              <c:idx val="14"/>
              <c:tx>
                <c:rich>
                  <a:bodyPr/>
                  <a:lstStyle/>
                  <a:p>
                    <a:fld id="{3709C1F0-77B0-4E4A-B2FB-38A2E04D1831}"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5-0C13-4D85-B6EE-DCC0A411AEA1}"/>
                </c:ext>
              </c:extLst>
            </c:dLbl>
            <c:dLbl>
              <c:idx val="15"/>
              <c:tx>
                <c:rich>
                  <a:bodyPr/>
                  <a:lstStyle/>
                  <a:p>
                    <a:fld id="{C971CB27-9A60-48FB-80CA-FB1E3D94040B}"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6-0C13-4D85-B6EE-DCC0A411AEA1}"/>
                </c:ext>
              </c:extLst>
            </c:dLbl>
            <c:dLbl>
              <c:idx val="16"/>
              <c:tx>
                <c:rich>
                  <a:bodyPr/>
                  <a:lstStyle/>
                  <a:p>
                    <a:fld id="{42256481-B9EB-4021-AC80-6061C2958705}"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7-0C13-4D85-B6EE-DCC0A411AEA1}"/>
                </c:ext>
              </c:extLst>
            </c:dLbl>
            <c:dLbl>
              <c:idx val="17"/>
              <c:tx>
                <c:rich>
                  <a:bodyPr/>
                  <a:lstStyle/>
                  <a:p>
                    <a:fld id="{F21CF887-3A6C-4B04-BC92-D318661E971D}"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8-0C13-4D85-B6EE-DCC0A411AEA1}"/>
                </c:ext>
              </c:extLst>
            </c:dLbl>
            <c:dLbl>
              <c:idx val="18"/>
              <c:tx>
                <c:rich>
                  <a:bodyPr/>
                  <a:lstStyle/>
                  <a:p>
                    <a:fld id="{1CEC1DEF-93C9-40AF-81E0-AB00168E4B44}"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9-0C13-4D85-B6EE-DCC0A411AEA1}"/>
                </c:ext>
              </c:extLst>
            </c:dLbl>
            <c:dLbl>
              <c:idx val="19"/>
              <c:tx>
                <c:rich>
                  <a:bodyPr/>
                  <a:lstStyle/>
                  <a:p>
                    <a:fld id="{CCE69C3D-A54C-4656-93C0-59660ED485DA}"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A-0C13-4D85-B6EE-DCC0A411AEA1}"/>
                </c:ext>
              </c:extLst>
            </c:dLbl>
            <c:dLbl>
              <c:idx val="20"/>
              <c:tx>
                <c:rich>
                  <a:bodyPr/>
                  <a:lstStyle/>
                  <a:p>
                    <a:fld id="{C1BB9102-B4CD-48F2-BA5C-0C37AE7772DC}"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B-0C13-4D85-B6EE-DCC0A411AEA1}"/>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2"/>
                    </a:solidFill>
                    <a:latin typeface="+mn-lt"/>
                    <a:ea typeface="+mn-ea"/>
                    <a:cs typeface="+mn-cs"/>
                  </a:defRPr>
                </a:pPr>
                <a:endParaRPr lang="en-US"/>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'Gamma_self Calc'!$B$40:$B$60</c:f>
              <c:numCache>
                <c:formatCode>General</c:formatCode>
                <c:ptCount val="2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numCache>
            </c:numRef>
          </c:xVal>
          <c:yVal>
            <c:numRef>
              <c:f>'Gamma_self Calc'!$G$40:$G$60</c:f>
              <c:numCache>
                <c:formatCode>General</c:formatCode>
                <c:ptCount val="21"/>
                <c:pt idx="0">
                  <c:v>18.579999999999998</c:v>
                </c:pt>
                <c:pt idx="1">
                  <c:v>18.579999999999998</c:v>
                </c:pt>
                <c:pt idx="2">
                  <c:v>18.579999999999998</c:v>
                </c:pt>
                <c:pt idx="3">
                  <c:v>18.579999999999998</c:v>
                </c:pt>
                <c:pt idx="4">
                  <c:v>20.079999999999998</c:v>
                </c:pt>
                <c:pt idx="5">
                  <c:v>19.180000000000007</c:v>
                </c:pt>
                <c:pt idx="6">
                  <c:v>18.680000000000007</c:v>
                </c:pt>
                <c:pt idx="7">
                  <c:v>18.28</c:v>
                </c:pt>
                <c:pt idx="8">
                  <c:v>17.78</c:v>
                </c:pt>
                <c:pt idx="9">
                  <c:v>16.179999999999978</c:v>
                </c:pt>
                <c:pt idx="10">
                  <c:v>17.380000000000024</c:v>
                </c:pt>
                <c:pt idx="11">
                  <c:v>16.47999999999999</c:v>
                </c:pt>
                <c:pt idx="12">
                  <c:v>17.680000000000007</c:v>
                </c:pt>
                <c:pt idx="13">
                  <c:v>17.679999999999978</c:v>
                </c:pt>
                <c:pt idx="14">
                  <c:v>17.379999999999995</c:v>
                </c:pt>
                <c:pt idx="15">
                  <c:v>16.78000000000003</c:v>
                </c:pt>
                <c:pt idx="16">
                  <c:v>17.979999999999961</c:v>
                </c:pt>
                <c:pt idx="17">
                  <c:v>18.28000000000003</c:v>
                </c:pt>
                <c:pt idx="18">
                  <c:v>19.180000000000007</c:v>
                </c:pt>
                <c:pt idx="19">
                  <c:v>17.980000000000018</c:v>
                </c:pt>
                <c:pt idx="20">
                  <c:v>17.979999999999961</c:v>
                </c:pt>
              </c:numCache>
            </c:numRef>
          </c:yVal>
          <c:smooth val="1"/>
          <c:extLst>
            <c:ext xmlns:c15="http://schemas.microsoft.com/office/drawing/2012/chart" uri="{02D57815-91ED-43cb-92C2-25804820EDAC}">
              <c15:datalabelsRange>
                <c15:f>'Gamma_self Calc'!$B$40:$B$60</c15:f>
                <c15:dlblRangeCache>
                  <c:ptCount val="2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15:dlblRangeCache>
              </c15:datalabelsRange>
            </c:ext>
            <c:ext xmlns:c16="http://schemas.microsoft.com/office/drawing/2014/chart" uri="{C3380CC4-5D6E-409C-BE32-E72D297353CC}">
              <c16:uniqueId val="{00000001-0C13-4D85-B6EE-DCC0A411AEA1}"/>
            </c:ext>
          </c:extLst>
        </c:ser>
        <c:ser>
          <c:idx val="2"/>
          <c:order val="2"/>
          <c:tx>
            <c:v>(delreal)^3/50</c:v>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'Gamma_self Calc'!$B$40:$B$60</c:f>
              <c:numCache>
                <c:formatCode>General</c:formatCode>
                <c:ptCount val="2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numCache>
            </c:numRef>
          </c:xVal>
          <c:yVal>
            <c:numRef>
              <c:f>'Gamma_self Calc'!$H$40:$H$60</c:f>
              <c:numCache>
                <c:formatCode>General</c:formatCode>
                <c:ptCount val="21"/>
                <c:pt idx="0">
                  <c:v>7.4029246400000002</c:v>
                </c:pt>
                <c:pt idx="1">
                  <c:v>7.4029246400000002</c:v>
                </c:pt>
                <c:pt idx="2">
                  <c:v>10.163391840000001</c:v>
                </c:pt>
                <c:pt idx="3">
                  <c:v>7.4029246400000002</c:v>
                </c:pt>
                <c:pt idx="4">
                  <c:v>12.196003839999987</c:v>
                </c:pt>
                <c:pt idx="5">
                  <c:v>10.163391840000015</c:v>
                </c:pt>
                <c:pt idx="6">
                  <c:v>11.353271040000005</c:v>
                </c:pt>
                <c:pt idx="7">
                  <c:v>11.353271040000005</c:v>
                </c:pt>
                <c:pt idx="8">
                  <c:v>9.4182190400000039</c:v>
                </c:pt>
                <c:pt idx="9">
                  <c:v>12.632574239999991</c:v>
                </c:pt>
                <c:pt idx="10">
                  <c:v>12.632574239999991</c:v>
                </c:pt>
                <c:pt idx="11">
                  <c:v>10.550282239999992</c:v>
                </c:pt>
                <c:pt idx="12">
                  <c:v>10.550282239999992</c:v>
                </c:pt>
                <c:pt idx="13">
                  <c:v>10.550282239999992</c:v>
                </c:pt>
                <c:pt idx="14">
                  <c:v>8.7103902399999935</c:v>
                </c:pt>
                <c:pt idx="15">
                  <c:v>8.7103902400000432</c:v>
                </c:pt>
                <c:pt idx="16">
                  <c:v>8.7103902399999455</c:v>
                </c:pt>
                <c:pt idx="17">
                  <c:v>7.7165670400000037</c:v>
                </c:pt>
                <c:pt idx="18">
                  <c:v>6.8013678400000526</c:v>
                </c:pt>
                <c:pt idx="19">
                  <c:v>6.80136783999997</c:v>
                </c:pt>
                <c:pt idx="20">
                  <c:v>6.80136783999997</c:v>
                </c:pt>
              </c:numCache>
            </c:numRef>
          </c:yVal>
          <c:smooth val="1"/>
          <c:extLst>
            <c:ext xmlns:c16="http://schemas.microsoft.com/office/drawing/2014/chart" uri="{C3380CC4-5D6E-409C-BE32-E72D297353CC}">
              <c16:uniqueId val="{00000000-0203-40E7-8A42-23EAB23FEB03}"/>
            </c:ext>
          </c:extLst>
        </c:ser>
        <c:ser>
          <c:idx val="3"/>
          <c:order val="3"/>
          <c:tx>
            <c:v>(delimag)^3/400</c:v>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'Gamma_self Calc'!$B$40:$B$60</c:f>
              <c:numCache>
                <c:formatCode>General</c:formatCode>
                <c:ptCount val="2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numCache>
            </c:numRef>
          </c:xVal>
          <c:yVal>
            <c:numRef>
              <c:f>'Gamma_self Calc'!$I$40:$I$60</c:f>
              <c:numCache>
                <c:formatCode>General</c:formatCode>
                <c:ptCount val="21"/>
                <c:pt idx="0">
                  <c:v>16.035301779999998</c:v>
                </c:pt>
                <c:pt idx="1">
                  <c:v>16.035301779999998</c:v>
                </c:pt>
                <c:pt idx="2">
                  <c:v>16.035301779999998</c:v>
                </c:pt>
                <c:pt idx="3">
                  <c:v>16.035301779999998</c:v>
                </c:pt>
                <c:pt idx="4">
                  <c:v>20.240961279999993</c:v>
                </c:pt>
                <c:pt idx="5">
                  <c:v>17.639481580000016</c:v>
                </c:pt>
                <c:pt idx="6">
                  <c:v>16.295610080000017</c:v>
                </c:pt>
                <c:pt idx="7">
                  <c:v>15.271038880000003</c:v>
                </c:pt>
                <c:pt idx="8">
                  <c:v>14.051907380000003</c:v>
                </c:pt>
                <c:pt idx="9">
                  <c:v>10.589502579999957</c:v>
                </c:pt>
                <c:pt idx="10">
                  <c:v>13.124698180000054</c:v>
                </c:pt>
                <c:pt idx="11">
                  <c:v>11.18952447999998</c:v>
                </c:pt>
                <c:pt idx="12">
                  <c:v>13.816142080000015</c:v>
                </c:pt>
                <c:pt idx="13">
                  <c:v>13.816142079999947</c:v>
                </c:pt>
                <c:pt idx="14">
                  <c:v>13.12469817999999</c:v>
                </c:pt>
                <c:pt idx="15">
                  <c:v>11.811794380000062</c:v>
                </c:pt>
                <c:pt idx="16">
                  <c:v>14.531453979999908</c:v>
                </c:pt>
                <c:pt idx="17">
                  <c:v>15.271038880000075</c:v>
                </c:pt>
                <c:pt idx="18">
                  <c:v>17.639481580000016</c:v>
                </c:pt>
                <c:pt idx="19">
                  <c:v>14.531453980000045</c:v>
                </c:pt>
                <c:pt idx="20">
                  <c:v>14.531453979999908</c:v>
                </c:pt>
              </c:numCache>
            </c:numRef>
          </c:yVal>
          <c:smooth val="1"/>
          <c:extLst>
            <c:ext xmlns:c16="http://schemas.microsoft.com/office/drawing/2014/chart" uri="{C3380CC4-5D6E-409C-BE32-E72D297353CC}">
              <c16:uniqueId val="{00000001-0203-40E7-8A42-23EAB23FEB03}"/>
            </c:ext>
          </c:extLst>
        </c:ser>
        <c:dLbls>
          <c:showLegendKey val="0"/>
          <c:showVal val="0"/>
          <c:showCatName val="0"/>
          <c:showSerName val="0"/>
          <c:showPercent val="0"/>
          <c:showBubbleSize val="0"/>
        </c:dLbls>
        <c:axId val="57916576"/>
        <c:axId val="57917056"/>
      </c:scatterChart>
      <c:valAx>
        <c:axId val="5791657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917056"/>
        <c:crosses val="autoZero"/>
        <c:crossBetween val="midCat"/>
      </c:valAx>
      <c:valAx>
        <c:axId val="5791705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916576"/>
        <c:crosses val="autoZero"/>
        <c:crossBetween val="midCat"/>
      </c:valAx>
      <c:spPr>
        <a:noFill/>
        <a:ln>
          <a:noFill/>
        </a:ln>
        <a:effectLst/>
      </c:spPr>
    </c:plotArea>
    <c:legend>
      <c:legendPos val="r"/>
      <c:layout>
        <c:manualLayout>
          <c:xMode val="edge"/>
          <c:yMode val="edge"/>
          <c:x val="0.21459674315967323"/>
          <c:y val="0.74132310281238523"/>
          <c:w val="0.37186375416011519"/>
          <c:h val="0.1701256480284867"/>
        </c:manualLayout>
      </c:layout>
      <c:overlay val="1"/>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34290</xdr:colOff>
      <xdr:row>2</xdr:row>
      <xdr:rowOff>30480</xdr:rowOff>
    </xdr:from>
    <xdr:to>
      <xdr:col>7</xdr:col>
      <xdr:colOff>1691640</xdr:colOff>
      <xdr:row>22</xdr:row>
      <xdr:rowOff>160020</xdr:rowOff>
    </xdr:to>
    <xdr:graphicFrame macro="">
      <xdr:nvGraphicFramePr>
        <xdr:cNvPr id="3" name="Chart 2">
          <a:extLst>
            <a:ext uri="{FF2B5EF4-FFF2-40B4-BE49-F238E27FC236}">
              <a16:creationId xmlns:a16="http://schemas.microsoft.com/office/drawing/2014/main" id="{BC9E2EF6-957B-DD37-8A59-AE3D16A7D11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164432</xdr:colOff>
      <xdr:row>2</xdr:row>
      <xdr:rowOff>56147</xdr:rowOff>
    </xdr:from>
    <xdr:to>
      <xdr:col>15</xdr:col>
      <xdr:colOff>152400</xdr:colOff>
      <xdr:row>22</xdr:row>
      <xdr:rowOff>136358</xdr:rowOff>
    </xdr:to>
    <xdr:graphicFrame macro="">
      <xdr:nvGraphicFramePr>
        <xdr:cNvPr id="6" name="Chart 5">
          <a:extLst>
            <a:ext uri="{FF2B5EF4-FFF2-40B4-BE49-F238E27FC236}">
              <a16:creationId xmlns:a16="http://schemas.microsoft.com/office/drawing/2014/main" id="{903B8FE1-7F21-A6FB-B765-4C249C0B998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AB34BE-D01F-49C0-8FC3-667E2BF1AF39}">
  <sheetPr codeName="Sheet1"/>
  <dimension ref="A1:Q534"/>
  <sheetViews>
    <sheetView tabSelected="1" topLeftCell="F2" zoomScale="95" zoomScaleNormal="95" workbookViewId="0">
      <selection activeCell="K38" sqref="K38"/>
    </sheetView>
  </sheetViews>
  <sheetFormatPr defaultRowHeight="14.4" x14ac:dyDescent="0.3"/>
  <cols>
    <col min="2" max="3" width="13.44140625" bestFit="1" customWidth="1"/>
    <col min="6" max="6" width="11.21875" customWidth="1"/>
    <col min="7" max="7" width="11.44140625" customWidth="1"/>
    <col min="8" max="8" width="8.5546875" bestFit="1" customWidth="1"/>
    <col min="9" max="9" width="12.33203125" bestFit="1" customWidth="1"/>
    <col min="11" max="11" width="15" bestFit="1" customWidth="1"/>
    <col min="15" max="15" width="15" bestFit="1" customWidth="1"/>
    <col min="19" max="19" width="12.88671875" customWidth="1"/>
    <col min="20" max="20" width="8.5546875" bestFit="1" customWidth="1"/>
    <col min="21" max="21" width="12.5546875" bestFit="1" customWidth="1"/>
  </cols>
  <sheetData>
    <row r="1" spans="1:3" x14ac:dyDescent="0.3">
      <c r="A1" s="15" t="s">
        <v>119</v>
      </c>
      <c r="B1" s="15"/>
      <c r="C1" s="9" t="s">
        <v>121</v>
      </c>
    </row>
    <row r="26" spans="1:17" ht="43.2" customHeight="1" x14ac:dyDescent="0.3">
      <c r="A26" s="16" t="s">
        <v>124</v>
      </c>
      <c r="B26" s="16"/>
      <c r="C26" s="10" t="s">
        <v>149</v>
      </c>
      <c r="G26" s="4"/>
      <c r="K26" s="21" t="s">
        <v>154</v>
      </c>
      <c r="L26" s="21"/>
      <c r="M26" s="21"/>
      <c r="N26" s="21"/>
      <c r="O26" s="21"/>
      <c r="P26" s="21"/>
      <c r="Q26" s="21"/>
    </row>
    <row r="27" spans="1:17" x14ac:dyDescent="0.3">
      <c r="A27" s="16" t="s">
        <v>117</v>
      </c>
      <c r="B27" s="16"/>
      <c r="C27" s="4" t="str">
        <f ca="1">VLOOKUP("Name",INDIRECT(C$26&amp;"!$A1:$K1000"),2,FALSE)</f>
        <v>AI Drift Demonstration</v>
      </c>
      <c r="G27" s="4"/>
      <c r="K27" s="21"/>
      <c r="L27" s="21"/>
      <c r="M27" s="21"/>
      <c r="N27" s="21"/>
      <c r="O27" s="21"/>
      <c r="P27" s="21"/>
      <c r="Q27" s="21"/>
    </row>
    <row r="28" spans="1:17" x14ac:dyDescent="0.3">
      <c r="A28" s="16" t="s">
        <v>108</v>
      </c>
      <c r="B28" s="16"/>
      <c r="C28" s="4" t="str">
        <f ca="1">VLOOKUP("time_unit",INDIRECT(C$26&amp;"!$A1:$K1000"),2,FALSE)</f>
        <v>events</v>
      </c>
      <c r="G28" s="4"/>
      <c r="K28" s="21"/>
      <c r="L28" s="21"/>
      <c r="M28" s="21"/>
      <c r="N28" s="21"/>
      <c r="O28" s="21"/>
      <c r="P28" s="21"/>
      <c r="Q28" s="21"/>
    </row>
    <row r="29" spans="1:17" x14ac:dyDescent="0.3">
      <c r="A29" s="6" t="s">
        <v>107</v>
      </c>
      <c r="B29" s="6"/>
      <c r="C29" s="11" t="s">
        <v>109</v>
      </c>
      <c r="G29" s="4"/>
      <c r="K29" s="21"/>
      <c r="L29" s="21"/>
      <c r="M29" s="21"/>
      <c r="N29" s="21"/>
      <c r="O29" s="21"/>
      <c r="P29" s="21"/>
      <c r="Q29" s="21"/>
    </row>
    <row r="30" spans="1:17" ht="15.6" customHeight="1" x14ac:dyDescent="0.35">
      <c r="A30" s="17" t="s">
        <v>106</v>
      </c>
      <c r="B30" s="16"/>
      <c r="C30" s="4" t="str">
        <f ca="1">VLOOKUP("gamma_self_0",INDIRECT(C$26&amp;"!A1:K1000"),2,TRUE)</f>
        <v>0.80+0j</v>
      </c>
      <c r="G30" s="4"/>
      <c r="K30" s="21"/>
      <c r="L30" s="21"/>
      <c r="M30" s="21"/>
      <c r="N30" s="21"/>
      <c r="O30" s="21"/>
      <c r="P30" s="21"/>
      <c r="Q30" s="21"/>
    </row>
    <row r="31" spans="1:17" ht="14.4" customHeight="1" x14ac:dyDescent="0.3">
      <c r="A31" s="12" t="s">
        <v>104</v>
      </c>
      <c r="B31" s="12"/>
      <c r="C31" cm="1">
        <f t="array" aca="1" ref="C31" ca="1">_xlfn.XMATCH(TRUE,ISNUMBER(INDIRECT(C$26&amp;"!A:A")))</f>
        <v>5</v>
      </c>
      <c r="K31" s="21"/>
      <c r="L31" s="21"/>
      <c r="M31" s="21"/>
      <c r="N31" s="21"/>
      <c r="O31" s="21"/>
      <c r="P31" s="21"/>
      <c r="Q31" s="21"/>
    </row>
    <row r="32" spans="1:17" ht="27" customHeight="1" x14ac:dyDescent="0.3">
      <c r="A32" s="12" t="s">
        <v>113</v>
      </c>
      <c r="B32" s="12"/>
      <c r="C32">
        <f>MATCH("Index/Label",B:B,0)+1</f>
        <v>40</v>
      </c>
      <c r="K32" s="21"/>
      <c r="L32" s="21"/>
      <c r="M32" s="21"/>
      <c r="N32" s="21"/>
      <c r="O32" s="21"/>
      <c r="P32" s="21"/>
      <c r="Q32" s="21"/>
    </row>
    <row r="33" spans="1:17" ht="27" customHeight="1" x14ac:dyDescent="0.3">
      <c r="A33" s="12" t="s">
        <v>120</v>
      </c>
      <c r="B33" s="12"/>
      <c r="C33">
        <f ca="1">COUNTA(INDIRECT(C$26&amp;"!B1:B1000"))</f>
        <v>25</v>
      </c>
      <c r="K33" s="21"/>
      <c r="L33" s="21"/>
      <c r="M33" s="21"/>
      <c r="N33" s="21"/>
      <c r="O33" s="21"/>
      <c r="P33" s="21"/>
      <c r="Q33" s="21"/>
    </row>
    <row r="34" spans="1:17" ht="27" customHeight="1" x14ac:dyDescent="0.3">
      <c r="A34" s="13" t="s">
        <v>116</v>
      </c>
      <c r="B34" s="13"/>
      <c r="C34">
        <f>COLUMN(B3)</f>
        <v>2</v>
      </c>
      <c r="K34" s="21"/>
      <c r="L34" s="21"/>
      <c r="M34" s="21"/>
      <c r="N34" s="21"/>
      <c r="O34" s="21"/>
      <c r="P34" s="21"/>
      <c r="Q34" s="21"/>
    </row>
    <row r="35" spans="1:17" ht="27" customHeight="1" x14ac:dyDescent="0.3">
      <c r="A35" s="13" t="s">
        <v>123</v>
      </c>
      <c r="B35" s="13"/>
      <c r="C35">
        <f ca="1">C32+(C33-C31)</f>
        <v>60</v>
      </c>
      <c r="K35" s="21"/>
      <c r="L35" s="21"/>
      <c r="M35" s="21"/>
      <c r="N35" s="21"/>
      <c r="O35" s="21"/>
      <c r="P35" s="21"/>
      <c r="Q35" s="21"/>
    </row>
    <row r="36" spans="1:17" ht="27" customHeight="1" x14ac:dyDescent="0.3">
      <c r="A36" s="13"/>
      <c r="B36" s="13"/>
      <c r="K36" s="21"/>
      <c r="L36" s="21"/>
      <c r="M36" s="21"/>
      <c r="N36" s="21"/>
      <c r="O36" s="21"/>
      <c r="P36" s="21"/>
      <c r="Q36" s="21"/>
    </row>
    <row r="37" spans="1:17" ht="27" customHeight="1" x14ac:dyDescent="0.3">
      <c r="A37" s="7"/>
      <c r="B37" s="7"/>
      <c r="K37" s="21"/>
      <c r="L37" s="21"/>
      <c r="M37" s="21"/>
      <c r="N37" s="21"/>
      <c r="O37" s="21"/>
      <c r="P37" s="21"/>
      <c r="Q37" s="21"/>
    </row>
    <row r="38" spans="1:17" x14ac:dyDescent="0.3">
      <c r="B38" s="14" t="s">
        <v>122</v>
      </c>
      <c r="C38" s="14"/>
      <c r="D38" s="14"/>
      <c r="E38" s="14"/>
    </row>
    <row r="39" spans="1:17" ht="43.8" x14ac:dyDescent="0.35">
      <c r="B39" s="8" t="s">
        <v>118</v>
      </c>
      <c r="C39" s="5" t="s">
        <v>105</v>
      </c>
      <c r="D39" s="5" t="s">
        <v>114</v>
      </c>
      <c r="E39" s="5" t="s">
        <v>115</v>
      </c>
      <c r="F39" s="8" t="s">
        <v>150</v>
      </c>
      <c r="G39" s="8" t="s">
        <v>151</v>
      </c>
      <c r="H39" s="8" t="s">
        <v>152</v>
      </c>
      <c r="I39" s="8" t="s">
        <v>153</v>
      </c>
    </row>
    <row r="40" spans="1:17" x14ac:dyDescent="0.3">
      <c r="B40" cm="1">
        <f t="array" aca="1" ref="B40" ca="1">IF(OR(INDIRECT(C$26&amp;"!B"&amp;(ROW()-C$32+C$31))="",$C$1="M2"),"",ROW(B40)-C$32)</f>
        <v>0</v>
      </c>
      <c r="C40" t="str" cm="1">
        <f t="array" aca="1" ref="C40" ca="1">IF(ROW()&gt;(C$33+C$32-C$31),"",GammaSelfNext(C$29,INDIRECT(C$26&amp;"!A"&amp;ROW()-C$32+C$31&amp;":F"&amp;ROW()-C$32+C$31),C30))</f>
        <v>7.98+18j</v>
      </c>
      <c r="D40">
        <f ca="1">IF(C40="",NA(),IMREAL(C40))</f>
        <v>7.98</v>
      </c>
      <c r="E40">
        <f ca="1">IF(C40="",NA(),IMAGINARY(C40))</f>
        <v>18</v>
      </c>
      <c r="F40">
        <f ca="1">F41</f>
        <v>7.18</v>
      </c>
      <c r="G40">
        <f ca="1">G41</f>
        <v>18.579999999999998</v>
      </c>
      <c r="H40">
        <f ca="1">F40^3/50</f>
        <v>7.4029246400000002</v>
      </c>
      <c r="I40">
        <f ca="1">G40^3/400</f>
        <v>16.035301779999998</v>
      </c>
    </row>
    <row r="41" spans="1:17" x14ac:dyDescent="0.3">
      <c r="B41" cm="1">
        <f t="array" aca="1" ref="B41" ca="1">IF(OR(INDIRECT(C$26&amp;"!B"&amp;(ROW()-C$32+C$31))="",$C$1="M2"),"",ROW(B41)-C$32)</f>
        <v>1</v>
      </c>
      <c r="C41" t="str" cm="1">
        <f t="array" aca="1" ref="C41" ca="1">IF(ROW()&gt;(C$33+C$32-C$31),"",GammaSelfNext(C$29,INDIRECT(C$26&amp;"!A"&amp;ROW()-C$32+C$31&amp;":F"&amp;ROW()-C$32+C$31),C40))</f>
        <v>15.16+36.58j</v>
      </c>
      <c r="D41">
        <f t="shared" ref="D41:D104" ca="1" si="0">IF(C41="",NA(),IMREAL(C41))</f>
        <v>15.16</v>
      </c>
      <c r="E41">
        <f t="shared" ref="E41:E104" ca="1" si="1">IF(C41="",NA(),IMAGINARY(C41))</f>
        <v>36.58</v>
      </c>
      <c r="F41">
        <f ca="1">D41-D40</f>
        <v>7.18</v>
      </c>
      <c r="G41">
        <f ca="1">E41-E40</f>
        <v>18.579999999999998</v>
      </c>
      <c r="H41">
        <f t="shared" ref="H41:H60" ca="1" si="2">F41^3/50</f>
        <v>7.4029246400000002</v>
      </c>
      <c r="I41">
        <f t="shared" ref="I41:I60" ca="1" si="3">G41^3/400</f>
        <v>16.035301779999998</v>
      </c>
    </row>
    <row r="42" spans="1:17" x14ac:dyDescent="0.3">
      <c r="B42" cm="1">
        <f t="array" aca="1" ref="B42" ca="1">IF(OR(INDIRECT(C$26&amp;"!B"&amp;(ROW()-C$32+C$31))="",$C$1="M2"),"",ROW(B42)-C$32)</f>
        <v>2</v>
      </c>
      <c r="C42" t="str" cm="1">
        <f t="array" aca="1" ref="C42" ca="1">IF(ROW()&gt;(C$33+C$32-C$31),"",GammaSelfNext(C$29,INDIRECT(C$26&amp;"!A"&amp;ROW()-C$32+C$31&amp;":F"&amp;ROW()-C$32+C$31),C41))</f>
        <v>23.14+55.16j</v>
      </c>
      <c r="D42">
        <f t="shared" ca="1" si="0"/>
        <v>23.14</v>
      </c>
      <c r="E42">
        <f t="shared" ca="1" si="1"/>
        <v>55.16</v>
      </c>
      <c r="F42">
        <f t="shared" ref="F42:F60" ca="1" si="4">D42-D41</f>
        <v>7.98</v>
      </c>
      <c r="G42">
        <f t="shared" ref="G42:G60" ca="1" si="5">E42-E41</f>
        <v>18.579999999999998</v>
      </c>
      <c r="H42">
        <f t="shared" ca="1" si="2"/>
        <v>10.163391840000001</v>
      </c>
      <c r="I42">
        <f t="shared" ca="1" si="3"/>
        <v>16.035301779999998</v>
      </c>
    </row>
    <row r="43" spans="1:17" x14ac:dyDescent="0.3">
      <c r="B43" cm="1">
        <f t="array" aca="1" ref="B43" ca="1">IF(OR(INDIRECT(C$26&amp;"!B"&amp;(ROW()-C$32+C$31))="",$C$1="M2"),"",ROW(B43)-C$32)</f>
        <v>3</v>
      </c>
      <c r="C43" t="str" cm="1">
        <f t="array" aca="1" ref="C43" ca="1">IF(ROW()&gt;(C$33+C$32-C$31),"",GammaSelfNext(C$29,INDIRECT(C$26&amp;"!A"&amp;ROW()-C$32+C$31&amp;":F"&amp;ROW()-C$32+C$31),C42))</f>
        <v>30.32+73.74j</v>
      </c>
      <c r="D43">
        <f t="shared" ca="1" si="0"/>
        <v>30.32</v>
      </c>
      <c r="E43">
        <f t="shared" ca="1" si="1"/>
        <v>73.739999999999995</v>
      </c>
      <c r="F43">
        <f t="shared" ca="1" si="4"/>
        <v>7.18</v>
      </c>
      <c r="G43">
        <f t="shared" ca="1" si="5"/>
        <v>18.579999999999998</v>
      </c>
      <c r="H43">
        <f t="shared" ca="1" si="2"/>
        <v>7.4029246400000002</v>
      </c>
      <c r="I43">
        <f t="shared" ca="1" si="3"/>
        <v>16.035301779999998</v>
      </c>
    </row>
    <row r="44" spans="1:17" x14ac:dyDescent="0.3">
      <c r="B44" cm="1">
        <f t="array" aca="1" ref="B44" ca="1">IF(OR(INDIRECT(C$26&amp;"!B"&amp;(ROW()-C$32+C$31))="",$C$1="M2"),"",ROW(B44)-C$32)</f>
        <v>4</v>
      </c>
      <c r="C44" t="str" cm="1">
        <f t="array" aca="1" ref="C44" ca="1">IF(ROW()&gt;(C$33+C$32-C$31),"",GammaSelfNext(C$29,INDIRECT(C$26&amp;"!A"&amp;ROW()-C$32+C$31&amp;":F"&amp;ROW()-C$32+C$31),C43))</f>
        <v>38.8+93.82j</v>
      </c>
      <c r="D44">
        <f t="shared" ca="1" si="0"/>
        <v>38.799999999999997</v>
      </c>
      <c r="E44">
        <f t="shared" ca="1" si="1"/>
        <v>93.82</v>
      </c>
      <c r="F44">
        <f t="shared" ca="1" si="4"/>
        <v>8.4799999999999969</v>
      </c>
      <c r="G44">
        <f t="shared" ca="1" si="5"/>
        <v>20.079999999999998</v>
      </c>
      <c r="H44">
        <f t="shared" ca="1" si="2"/>
        <v>12.196003839999987</v>
      </c>
      <c r="I44">
        <f t="shared" ca="1" si="3"/>
        <v>20.240961279999993</v>
      </c>
    </row>
    <row r="45" spans="1:17" x14ac:dyDescent="0.3">
      <c r="B45" cm="1">
        <f t="array" aca="1" ref="B45" ca="1">IF(OR(INDIRECT(C$26&amp;"!B"&amp;(ROW()-C$32+C$31))="",$C$1="M2"),"",ROW(B45)-C$32)</f>
        <v>5</v>
      </c>
      <c r="C45" t="str" cm="1">
        <f t="array" aca="1" ref="C45" ca="1">IF(ROW()&gt;(C$33+C$32-C$31),"",GammaSelfNext(C$29,INDIRECT(C$26&amp;"!A"&amp;ROW()-C$32+C$31&amp;":F"&amp;ROW()-C$32+C$31),C44))</f>
        <v>46.78+113j</v>
      </c>
      <c r="D45">
        <f t="shared" ca="1" si="0"/>
        <v>46.78</v>
      </c>
      <c r="E45">
        <f t="shared" ca="1" si="1"/>
        <v>113</v>
      </c>
      <c r="F45">
        <f t="shared" ca="1" si="4"/>
        <v>7.980000000000004</v>
      </c>
      <c r="G45">
        <f t="shared" ca="1" si="5"/>
        <v>19.180000000000007</v>
      </c>
      <c r="H45">
        <f t="shared" ca="1" si="2"/>
        <v>10.163391840000015</v>
      </c>
      <c r="I45">
        <f t="shared" ca="1" si="3"/>
        <v>17.639481580000016</v>
      </c>
    </row>
    <row r="46" spans="1:17" x14ac:dyDescent="0.3">
      <c r="B46" cm="1">
        <f t="array" aca="1" ref="B46" ca="1">IF(OR(INDIRECT(C$26&amp;"!B"&amp;(ROW()-C$32+C$31))="",$C$1="M2"),"",ROW(B46)-C$32)</f>
        <v>6</v>
      </c>
      <c r="C46" t="str" cm="1">
        <f t="array" aca="1" ref="C46" ca="1">IF(ROW()&gt;(C$33+C$32-C$31),"",GammaSelfNext(C$29,INDIRECT(C$26&amp;"!A"&amp;ROW()-C$32+C$31&amp;":F"&amp;ROW()-C$32+C$31),C45))</f>
        <v>55.06+131.68j</v>
      </c>
      <c r="D46">
        <f t="shared" ca="1" si="0"/>
        <v>55.06</v>
      </c>
      <c r="E46">
        <f t="shared" ca="1" si="1"/>
        <v>131.68</v>
      </c>
      <c r="F46">
        <f t="shared" ca="1" si="4"/>
        <v>8.2800000000000011</v>
      </c>
      <c r="G46">
        <f t="shared" ca="1" si="5"/>
        <v>18.680000000000007</v>
      </c>
      <c r="H46">
        <f t="shared" ca="1" si="2"/>
        <v>11.353271040000005</v>
      </c>
      <c r="I46">
        <f t="shared" ca="1" si="3"/>
        <v>16.295610080000017</v>
      </c>
    </row>
    <row r="47" spans="1:17" x14ac:dyDescent="0.3">
      <c r="B47" cm="1">
        <f t="array" aca="1" ref="B47" ca="1">IF(OR(INDIRECT(C$26&amp;"!B"&amp;(ROW()-C$32+C$31))="",$C$1="M2"),"",ROW(B47)-C$32)</f>
        <v>7</v>
      </c>
      <c r="C47" t="str" cm="1">
        <f t="array" aca="1" ref="C47" ca="1">IF(ROW()&gt;(C$33+C$32-C$31),"",GammaSelfNext(C$29,INDIRECT(C$26&amp;"!A"&amp;ROW()-C$32+C$31&amp;":F"&amp;ROW()-C$32+C$31),C46))</f>
        <v>63.34+149.96j</v>
      </c>
      <c r="D47">
        <f t="shared" ca="1" si="0"/>
        <v>63.34</v>
      </c>
      <c r="E47">
        <f t="shared" ca="1" si="1"/>
        <v>149.96</v>
      </c>
      <c r="F47">
        <f t="shared" ca="1" si="4"/>
        <v>8.2800000000000011</v>
      </c>
      <c r="G47">
        <f t="shared" ca="1" si="5"/>
        <v>18.28</v>
      </c>
      <c r="H47">
        <f t="shared" ca="1" si="2"/>
        <v>11.353271040000005</v>
      </c>
      <c r="I47">
        <f t="shared" ca="1" si="3"/>
        <v>15.271038880000003</v>
      </c>
    </row>
    <row r="48" spans="1:17" x14ac:dyDescent="0.3">
      <c r="B48" cm="1">
        <f t="array" aca="1" ref="B48" ca="1">IF(OR(INDIRECT(C$26&amp;"!B"&amp;(ROW()-C$32+C$31))="",$C$1="M2"),"",ROW(B48)-C$32)</f>
        <v>8</v>
      </c>
      <c r="C48" t="str" cm="1">
        <f t="array" aca="1" ref="C48" ca="1">IF(ROW()&gt;(C$33+C$32-C$31),"",GammaSelfNext(C$29,INDIRECT(C$26&amp;"!A"&amp;ROW()-C$32+C$31&amp;":F"&amp;ROW()-C$32+C$31),C47))</f>
        <v>71.12+167.74j</v>
      </c>
      <c r="D48">
        <f t="shared" ca="1" si="0"/>
        <v>71.12</v>
      </c>
      <c r="E48">
        <f t="shared" ca="1" si="1"/>
        <v>167.74</v>
      </c>
      <c r="F48">
        <f t="shared" ca="1" si="4"/>
        <v>7.7800000000000011</v>
      </c>
      <c r="G48">
        <f t="shared" ca="1" si="5"/>
        <v>17.78</v>
      </c>
      <c r="H48">
        <f t="shared" ca="1" si="2"/>
        <v>9.4182190400000039</v>
      </c>
      <c r="I48">
        <f t="shared" ca="1" si="3"/>
        <v>14.051907380000003</v>
      </c>
    </row>
    <row r="49" spans="1:9" x14ac:dyDescent="0.3">
      <c r="B49" cm="1">
        <f t="array" aca="1" ref="B49" ca="1">IF(OR(INDIRECT(C$26&amp;"!B"&amp;(ROW()-C$32+C$31))="",$C$1="M2"),"",ROW(B49)-C$32)</f>
        <v>9</v>
      </c>
      <c r="C49" t="str" cm="1">
        <f t="array" aca="1" ref="C49" ca="1">IF(ROW()&gt;(C$33+C$32-C$31),"",GammaSelfNext(C$29,INDIRECT(C$26&amp;"!A"&amp;ROW()-C$32+C$31&amp;":F"&amp;ROW()-C$32+C$31),C48))</f>
        <v>79.7+183.92j</v>
      </c>
      <c r="D49">
        <f t="shared" ca="1" si="0"/>
        <v>79.7</v>
      </c>
      <c r="E49">
        <f t="shared" ca="1" si="1"/>
        <v>183.92</v>
      </c>
      <c r="F49">
        <f t="shared" ca="1" si="4"/>
        <v>8.5799999999999983</v>
      </c>
      <c r="G49">
        <f t="shared" ca="1" si="5"/>
        <v>16.179999999999978</v>
      </c>
      <c r="H49">
        <f t="shared" ca="1" si="2"/>
        <v>12.632574239999991</v>
      </c>
      <c r="I49">
        <f t="shared" ca="1" si="3"/>
        <v>10.589502579999957</v>
      </c>
    </row>
    <row r="50" spans="1:9" x14ac:dyDescent="0.3">
      <c r="B50" cm="1">
        <f t="array" aca="1" ref="B50" ca="1">IF(OR(INDIRECT(C$26&amp;"!B"&amp;(ROW()-C$32+C$31))="",$C$1="M2"),"",ROW(B50)-C$32)</f>
        <v>10</v>
      </c>
      <c r="C50" t="str" cm="1">
        <f t="array" aca="1" ref="C50" ca="1">IF(ROW()&gt;(C$33+C$32-C$31),"",GammaSelfNext(C$29,INDIRECT(C$26&amp;"!A"&amp;ROW()-C$32+C$31&amp;":F"&amp;ROW()-C$32+C$31),C49))</f>
        <v>88.28+201.3j</v>
      </c>
      <c r="D50">
        <f t="shared" ca="1" si="0"/>
        <v>88.28</v>
      </c>
      <c r="E50">
        <f t="shared" ca="1" si="1"/>
        <v>201.3</v>
      </c>
      <c r="F50">
        <f t="shared" ca="1" si="4"/>
        <v>8.5799999999999983</v>
      </c>
      <c r="G50">
        <f t="shared" ca="1" si="5"/>
        <v>17.380000000000024</v>
      </c>
      <c r="H50">
        <f t="shared" ca="1" si="2"/>
        <v>12.632574239999991</v>
      </c>
      <c r="I50">
        <f t="shared" ca="1" si="3"/>
        <v>13.124698180000054</v>
      </c>
    </row>
    <row r="51" spans="1:9" x14ac:dyDescent="0.3">
      <c r="B51" cm="1">
        <f t="array" aca="1" ref="B51" ca="1">IF(OR(INDIRECT(C$26&amp;"!B"&amp;(ROW()-C$32+C$31))="",$C$1="M2"),"",ROW(B51)-C$32)</f>
        <v>11</v>
      </c>
      <c r="C51" t="str" cm="1">
        <f t="array" aca="1" ref="C51" ca="1">IF(ROW()&gt;(C$33+C$32-C$31),"",GammaSelfNext(C$29,INDIRECT(C$26&amp;"!A"&amp;ROW()-C$32+C$31&amp;":F"&amp;ROW()-C$32+C$31),C50))</f>
        <v>96.36+217.78j</v>
      </c>
      <c r="D51">
        <f t="shared" ca="1" si="0"/>
        <v>96.36</v>
      </c>
      <c r="E51">
        <f t="shared" ca="1" si="1"/>
        <v>217.78</v>
      </c>
      <c r="F51">
        <f t="shared" ca="1" si="4"/>
        <v>8.0799999999999983</v>
      </c>
      <c r="G51">
        <f t="shared" ca="1" si="5"/>
        <v>16.47999999999999</v>
      </c>
      <c r="H51">
        <f t="shared" ca="1" si="2"/>
        <v>10.550282239999992</v>
      </c>
      <c r="I51">
        <f t="shared" ca="1" si="3"/>
        <v>11.18952447999998</v>
      </c>
    </row>
    <row r="52" spans="1:9" x14ac:dyDescent="0.3">
      <c r="B52" cm="1">
        <f t="array" aca="1" ref="B52" ca="1">IF(OR(INDIRECT(C$26&amp;"!B"&amp;(ROW()-C$32+C$31))="",$C$1="M2"),"",ROW(B52)-C$32)</f>
        <v>12</v>
      </c>
      <c r="C52" t="str" cm="1">
        <f t="array" aca="1" ref="C52" ca="1">IF(ROW()&gt;(C$33+C$32-C$31),"",GammaSelfNext(C$29,INDIRECT(C$26&amp;"!A"&amp;ROW()-C$32+C$31&amp;":F"&amp;ROW()-C$32+C$31),C51))</f>
        <v>104.44+235.46j</v>
      </c>
      <c r="D52">
        <f t="shared" ca="1" si="0"/>
        <v>104.44</v>
      </c>
      <c r="E52">
        <f t="shared" ca="1" si="1"/>
        <v>235.46</v>
      </c>
      <c r="F52">
        <f t="shared" ca="1" si="4"/>
        <v>8.0799999999999983</v>
      </c>
      <c r="G52">
        <f t="shared" ca="1" si="5"/>
        <v>17.680000000000007</v>
      </c>
      <c r="H52">
        <f t="shared" ca="1" si="2"/>
        <v>10.550282239999992</v>
      </c>
      <c r="I52">
        <f t="shared" ca="1" si="3"/>
        <v>13.816142080000015</v>
      </c>
    </row>
    <row r="53" spans="1:9" x14ac:dyDescent="0.3">
      <c r="B53" cm="1">
        <f t="array" aca="1" ref="B53" ca="1">IF(OR(INDIRECT(C$26&amp;"!B"&amp;(ROW()-C$32+C$31))="",$C$1="M2"),"",ROW(B53)-C$32)</f>
        <v>13</v>
      </c>
      <c r="C53" t="str" cm="1">
        <f t="array" aca="1" ref="C53" ca="1">IF(ROW()&gt;(C$33+C$32-C$31),"",GammaSelfNext(C$29,INDIRECT(C$26&amp;"!A"&amp;ROW()-C$32+C$31&amp;":F"&amp;ROW()-C$32+C$31),C52))</f>
        <v>112.52+253.14j</v>
      </c>
      <c r="D53">
        <f t="shared" ca="1" si="0"/>
        <v>112.52</v>
      </c>
      <c r="E53">
        <f t="shared" ca="1" si="1"/>
        <v>253.14</v>
      </c>
      <c r="F53">
        <f t="shared" ca="1" si="4"/>
        <v>8.0799999999999983</v>
      </c>
      <c r="G53">
        <f t="shared" ca="1" si="5"/>
        <v>17.679999999999978</v>
      </c>
      <c r="H53">
        <f t="shared" ca="1" si="2"/>
        <v>10.550282239999992</v>
      </c>
      <c r="I53">
        <f t="shared" ca="1" si="3"/>
        <v>13.816142079999947</v>
      </c>
    </row>
    <row r="54" spans="1:9" x14ac:dyDescent="0.3">
      <c r="B54" cm="1">
        <f t="array" aca="1" ref="B54" ca="1">IF(OR(INDIRECT(C$26&amp;"!B"&amp;(ROW()-C$32+C$31))="",$C$1="M2"),"",ROW(B54)-C$32)</f>
        <v>14</v>
      </c>
      <c r="C54" t="str" cm="1">
        <f t="array" aca="1" ref="C54" ca="1">IF(ROW()&gt;(C$33+C$32-C$31),"",GammaSelfNext(C$29,INDIRECT(C$26&amp;"!A"&amp;ROW()-C$32+C$31&amp;":F"&amp;ROW()-C$32+C$31),C53))</f>
        <v>120.1+270.52j</v>
      </c>
      <c r="D54">
        <f t="shared" ca="1" si="0"/>
        <v>120.1</v>
      </c>
      <c r="E54">
        <f t="shared" ca="1" si="1"/>
        <v>270.52</v>
      </c>
      <c r="F54">
        <f t="shared" ca="1" si="4"/>
        <v>7.5799999999999983</v>
      </c>
      <c r="G54">
        <f t="shared" ca="1" si="5"/>
        <v>17.379999999999995</v>
      </c>
      <c r="H54">
        <f t="shared" ca="1" si="2"/>
        <v>8.7103902399999935</v>
      </c>
      <c r="I54">
        <f t="shared" ca="1" si="3"/>
        <v>13.12469817999999</v>
      </c>
    </row>
    <row r="55" spans="1:9" x14ac:dyDescent="0.3">
      <c r="B55" cm="1">
        <f t="array" aca="1" ref="B55" ca="1">IF(OR(INDIRECT(C$26&amp;"!B"&amp;(ROW()-C$32+C$31))="",$C$1="M2"),"",ROW(B55)-C$32)</f>
        <v>15</v>
      </c>
      <c r="C55" t="str" cm="1">
        <f t="array" aca="1" ref="C55" ca="1">IF(ROW()&gt;(C$33+C$32-C$31),"",GammaSelfNext(C$29,INDIRECT(C$26&amp;"!A"&amp;ROW()-C$32+C$31&amp;":F"&amp;ROW()-C$32+C$31),C54))</f>
        <v>127.68+287.3j</v>
      </c>
      <c r="D55">
        <f t="shared" ca="1" si="0"/>
        <v>127.68</v>
      </c>
      <c r="E55">
        <f t="shared" ca="1" si="1"/>
        <v>287.3</v>
      </c>
      <c r="F55">
        <f t="shared" ca="1" si="4"/>
        <v>7.5800000000000125</v>
      </c>
      <c r="G55">
        <f t="shared" ca="1" si="5"/>
        <v>16.78000000000003</v>
      </c>
      <c r="H55">
        <f t="shared" ca="1" si="2"/>
        <v>8.7103902400000432</v>
      </c>
      <c r="I55">
        <f t="shared" ca="1" si="3"/>
        <v>11.811794380000062</v>
      </c>
    </row>
    <row r="56" spans="1:9" x14ac:dyDescent="0.3">
      <c r="B56" cm="1">
        <f t="array" aca="1" ref="B56" ca="1">IF(OR(INDIRECT(C$26&amp;"!B"&amp;(ROW()-C$32+C$31))="",$C$1="M2"),"",ROW(B56)-C$32)</f>
        <v>16</v>
      </c>
      <c r="C56" t="str" cm="1">
        <f t="array" aca="1" ref="C56" ca="1">IF(ROW()&gt;(C$33+C$32-C$31),"",GammaSelfNext(C$29,INDIRECT(C$26&amp;"!A"&amp;ROW()-C$32+C$31&amp;":F"&amp;ROW()-C$32+C$31),C55))</f>
        <v>135.26+305.28j</v>
      </c>
      <c r="D56">
        <f t="shared" ca="1" si="0"/>
        <v>135.26</v>
      </c>
      <c r="E56">
        <f t="shared" ca="1" si="1"/>
        <v>305.27999999999997</v>
      </c>
      <c r="F56">
        <f t="shared" ca="1" si="4"/>
        <v>7.5799999999999841</v>
      </c>
      <c r="G56">
        <f t="shared" ca="1" si="5"/>
        <v>17.979999999999961</v>
      </c>
      <c r="H56">
        <f t="shared" ca="1" si="2"/>
        <v>8.7103902399999455</v>
      </c>
      <c r="I56">
        <f t="shared" ca="1" si="3"/>
        <v>14.531453979999908</v>
      </c>
    </row>
    <row r="57" spans="1:9" x14ac:dyDescent="0.3">
      <c r="B57" cm="1">
        <f t="array" aca="1" ref="B57" ca="1">IF(OR(INDIRECT(C$26&amp;"!B"&amp;(ROW()-C$32+C$31))="",$C$1="M2"),"",ROW(B57)-C$32)</f>
        <v>17</v>
      </c>
      <c r="C57" t="str" cm="1">
        <f t="array" aca="1" ref="C57" ca="1">IF(ROW()&gt;(C$33+C$32-C$31),"",GammaSelfNext(C$29,INDIRECT(C$26&amp;"!A"&amp;ROW()-C$32+C$31&amp;":F"&amp;ROW()-C$32+C$31),C56))</f>
        <v>142.54+323.56j</v>
      </c>
      <c r="D57">
        <f t="shared" ca="1" si="0"/>
        <v>142.54</v>
      </c>
      <c r="E57">
        <f t="shared" ca="1" si="1"/>
        <v>323.56</v>
      </c>
      <c r="F57">
        <f t="shared" ca="1" si="4"/>
        <v>7.2800000000000011</v>
      </c>
      <c r="G57">
        <f t="shared" ca="1" si="5"/>
        <v>18.28000000000003</v>
      </c>
      <c r="H57">
        <f t="shared" ca="1" si="2"/>
        <v>7.7165670400000037</v>
      </c>
      <c r="I57">
        <f t="shared" ca="1" si="3"/>
        <v>15.271038880000075</v>
      </c>
    </row>
    <row r="58" spans="1:9" x14ac:dyDescent="0.3">
      <c r="B58" cm="1">
        <f t="array" aca="1" ref="B58" ca="1">IF(OR(INDIRECT(C$26&amp;"!B"&amp;(ROW()-C$32+C$31))="",$C$1="M2"),"",ROW(B58)-C$32)</f>
        <v>18</v>
      </c>
      <c r="C58" t="str" cm="1">
        <f t="array" aca="1" ref="C58" ca="1">IF(ROW()&gt;(C$33+C$32-C$31),"",GammaSelfNext(C$29,INDIRECT(C$26&amp;"!A"&amp;ROW()-C$32+C$31&amp;":F"&amp;ROW()-C$32+C$31),C57))</f>
        <v>149.52+342.74j</v>
      </c>
      <c r="D58">
        <f t="shared" ca="1" si="0"/>
        <v>149.52000000000001</v>
      </c>
      <c r="E58">
        <f t="shared" ca="1" si="1"/>
        <v>342.74</v>
      </c>
      <c r="F58">
        <f t="shared" ca="1" si="4"/>
        <v>6.9800000000000182</v>
      </c>
      <c r="G58">
        <f t="shared" ca="1" si="5"/>
        <v>19.180000000000007</v>
      </c>
      <c r="H58">
        <f t="shared" ca="1" si="2"/>
        <v>6.8013678400000526</v>
      </c>
      <c r="I58">
        <f t="shared" ca="1" si="3"/>
        <v>17.639481580000016</v>
      </c>
    </row>
    <row r="59" spans="1:9" x14ac:dyDescent="0.3">
      <c r="B59" cm="1">
        <f t="array" aca="1" ref="B59" ca="1">IF(OR(INDIRECT(C$26&amp;"!B"&amp;(ROW()-C$32+C$31))="",$C$1="M2"),"",ROW(B59)-C$32)</f>
        <v>19</v>
      </c>
      <c r="C59" t="str" cm="1">
        <f t="array" aca="1" ref="C59" ca="1">IF(ROW()&gt;(C$33+C$32-C$31),"",GammaSelfNext(C$29,INDIRECT(C$26&amp;"!A"&amp;ROW()-C$32+C$31&amp;":F"&amp;ROW()-C$32+C$31),C58))</f>
        <v>156.5+360.72j</v>
      </c>
      <c r="D59">
        <f t="shared" ca="1" si="0"/>
        <v>156.5</v>
      </c>
      <c r="E59">
        <f t="shared" ca="1" si="1"/>
        <v>360.72</v>
      </c>
      <c r="F59">
        <f t="shared" ca="1" si="4"/>
        <v>6.9799999999999898</v>
      </c>
      <c r="G59">
        <f t="shared" ca="1" si="5"/>
        <v>17.980000000000018</v>
      </c>
      <c r="H59">
        <f t="shared" ca="1" si="2"/>
        <v>6.80136783999997</v>
      </c>
      <c r="I59">
        <f t="shared" ca="1" si="3"/>
        <v>14.531453980000045</v>
      </c>
    </row>
    <row r="60" spans="1:9" x14ac:dyDescent="0.3">
      <c r="B60" cm="1">
        <f t="array" aca="1" ref="B60" ca="1">IF(OR(INDIRECT(C$26&amp;"!B"&amp;(ROW()-C$32+C$31))="",$C$1="M2"),"",ROW(B60)-C$32)</f>
        <v>20</v>
      </c>
      <c r="C60" t="str" cm="1">
        <f t="array" aca="1" ref="C60" ca="1">IF(ROW()&gt;(C$33+C$32-C$31),"",GammaSelfNext(C$29,INDIRECT(C$26&amp;"!A"&amp;ROW()-C$32+C$31&amp;":F"&amp;ROW()-C$32+C$31),C59))</f>
        <v>163.48+378.7j</v>
      </c>
      <c r="D60">
        <f t="shared" ca="1" si="0"/>
        <v>163.47999999999999</v>
      </c>
      <c r="E60">
        <f t="shared" ca="1" si="1"/>
        <v>378.7</v>
      </c>
      <c r="F60">
        <f t="shared" ca="1" si="4"/>
        <v>6.9799999999999898</v>
      </c>
      <c r="G60">
        <f t="shared" ca="1" si="5"/>
        <v>17.979999999999961</v>
      </c>
      <c r="H60">
        <f t="shared" ca="1" si="2"/>
        <v>6.80136783999997</v>
      </c>
      <c r="I60">
        <f t="shared" ca="1" si="3"/>
        <v>14.531453979999908</v>
      </c>
    </row>
    <row r="61" spans="1:9" x14ac:dyDescent="0.3">
      <c r="B61" t="str" cm="1">
        <f t="array" aca="1" ref="B61" ca="1">IF(OR(INDIRECT(C$26&amp;"!B"&amp;(ROW()-C$32+C$31))="",$C$1="M2"),"",1+ROW(B61)-C$32)</f>
        <v/>
      </c>
      <c r="C61" t="str" cm="1">
        <f t="array" aca="1" ref="C61" ca="1">IF(ROW()&gt;(C$33+C$32-C$31),"",GammaSelfNext(C$29,INDIRECT(C$26&amp;"!A"&amp;ROW()-C$32+C$31&amp;":F"&amp;ROW()-C$32+C$31),C60))</f>
        <v/>
      </c>
      <c r="D61" t="e">
        <f t="shared" ca="1" si="0"/>
        <v>#N/A</v>
      </c>
      <c r="E61" t="e">
        <f t="shared" ca="1" si="1"/>
        <v>#N/A</v>
      </c>
    </row>
    <row r="62" spans="1:9" x14ac:dyDescent="0.3">
      <c r="A62" t="str" cm="1">
        <f t="array" aca="1" ref="A62" ca="1">IF(OR(INDIRECT($C$26&amp;"!B"&amp;(ROW()-$C$32+$C$31))="",$C$1="M2"),"",1+ROW(A62)-$C$32)</f>
        <v/>
      </c>
      <c r="B62" t="str" cm="1">
        <f t="array" aca="1" ref="B62" ca="1">IF(OR(INDIRECT(C$26&amp;"!B"&amp;(ROW()-C$32+C$31))="",$C$1="M2"),"",1+ROW(B62)-C$32)</f>
        <v/>
      </c>
      <c r="C62" t="str" cm="1">
        <f t="array" aca="1" ref="C62" ca="1">IF(ROW()&gt;(C$33+C$32-C$31),"",GammaSelfNext(C$29,INDIRECT(C$26&amp;"!A"&amp;ROW()-C$32+C$31&amp;":F"&amp;ROW()-C$32+C$31),C61))</f>
        <v/>
      </c>
      <c r="D62" t="e">
        <f t="shared" ca="1" si="0"/>
        <v>#N/A</v>
      </c>
      <c r="E62" t="e">
        <f t="shared" ca="1" si="1"/>
        <v>#N/A</v>
      </c>
    </row>
    <row r="63" spans="1:9" x14ac:dyDescent="0.3">
      <c r="A63" t="str" cm="1">
        <f t="array" aca="1" ref="A63" ca="1">IF(OR(INDIRECT($C$26&amp;"!B"&amp;(ROW()-$C$32+$C$31))="",$C$1="M2"),"",1+ROW(A63)-$C$32)</f>
        <v/>
      </c>
      <c r="B63" t="str" cm="1">
        <f t="array" aca="1" ref="B63" ca="1">IF(OR(INDIRECT(C$26&amp;"!B"&amp;(ROW()-C$32+C$31))="",$C$1="M2"),"",1+ROW(B63)-C$32)</f>
        <v/>
      </c>
      <c r="C63" t="str" cm="1">
        <f t="array" aca="1" ref="C63" ca="1">IF(ROW()&gt;(C$33+C$32-C$31),"",GammaSelfNext(C$29,INDIRECT(C$26&amp;"!A"&amp;ROW()-C$32+C$31&amp;":F"&amp;ROW()-C$32+C$31),C62))</f>
        <v/>
      </c>
      <c r="D63" t="e">
        <f t="shared" ca="1" si="0"/>
        <v>#N/A</v>
      </c>
      <c r="E63" t="e">
        <f t="shared" ca="1" si="1"/>
        <v>#N/A</v>
      </c>
    </row>
    <row r="64" spans="1:9" x14ac:dyDescent="0.3">
      <c r="A64" t="str" cm="1">
        <f t="array" aca="1" ref="A64" ca="1">IF(OR(INDIRECT($C$26&amp;"!B"&amp;(ROW()-$C$32+$C$31))="",$C$1="M2"),"",1+ROW(A64)-$C$32)</f>
        <v/>
      </c>
      <c r="B64" t="str" cm="1">
        <f t="array" aca="1" ref="B64" ca="1">IF(OR(INDIRECT(C$26&amp;"!B"&amp;(ROW()-C$32+C$31))="",$C$1="M2"),"",1+ROW(B64)-C$32)</f>
        <v/>
      </c>
      <c r="C64" t="str" cm="1">
        <f t="array" aca="1" ref="C64" ca="1">IF(ROW()&gt;(C$33+C$32-C$31),"",GammaSelfNext(C$29,INDIRECT(C$26&amp;"!A"&amp;ROW()-C$32+C$31&amp;":F"&amp;ROW()-C$32+C$31),C63))</f>
        <v/>
      </c>
      <c r="D64" t="e">
        <f t="shared" ca="1" si="0"/>
        <v>#N/A</v>
      </c>
      <c r="E64" t="e">
        <f t="shared" ca="1" si="1"/>
        <v>#N/A</v>
      </c>
    </row>
    <row r="65" spans="1:5" x14ac:dyDescent="0.3">
      <c r="A65" t="str" cm="1">
        <f t="array" aca="1" ref="A65" ca="1">IF(OR(INDIRECT($C$26&amp;"!B"&amp;(ROW()-$C$32+$C$31))="",$C$1="M2"),"",1+ROW(A65)-$C$32)</f>
        <v/>
      </c>
      <c r="B65" t="str" cm="1">
        <f t="array" aca="1" ref="B65" ca="1">IF(OR(INDIRECT(C$26&amp;"!B"&amp;(ROW()-C$32+C$31))="",$C$1="M2"),"",1+ROW(B65)-C$32)</f>
        <v/>
      </c>
      <c r="C65" t="str" cm="1">
        <f t="array" aca="1" ref="C65" ca="1">IF(ROW()&gt;(C$33+C$32-C$31),"",GammaSelfNext(C$29,INDIRECT(C$26&amp;"!A"&amp;ROW()-C$32+C$31&amp;":F"&amp;ROW()-C$32+C$31),C64))</f>
        <v/>
      </c>
      <c r="D65" t="e">
        <f t="shared" ca="1" si="0"/>
        <v>#N/A</v>
      </c>
      <c r="E65" t="e">
        <f t="shared" ca="1" si="1"/>
        <v>#N/A</v>
      </c>
    </row>
    <row r="66" spans="1:5" x14ac:dyDescent="0.3">
      <c r="A66" t="str" cm="1">
        <f t="array" aca="1" ref="A66" ca="1">IF(OR(INDIRECT($C$26&amp;"!B"&amp;(ROW()-$C$32+$C$31))="",$C$1="M2"),"",1+ROW(A66)-$C$32)</f>
        <v/>
      </c>
      <c r="B66" t="str" cm="1">
        <f t="array" aca="1" ref="B66" ca="1">IF(OR(INDIRECT(C$26&amp;"!B"&amp;(ROW()-C$32+C$31))="",$C$1="M2"),"",1+ROW(B66)-C$32)</f>
        <v/>
      </c>
      <c r="C66" t="str" cm="1">
        <f t="array" aca="1" ref="C66" ca="1">IF(ROW()&gt;(C$33+C$32-C$31),"",GammaSelfNext(C$29,INDIRECT(C$26&amp;"!A"&amp;ROW()-C$32+C$31&amp;":F"&amp;ROW()-C$32+C$31),C65))</f>
        <v/>
      </c>
      <c r="D66" t="e">
        <f t="shared" ca="1" si="0"/>
        <v>#N/A</v>
      </c>
      <c r="E66" t="e">
        <f t="shared" ca="1" si="1"/>
        <v>#N/A</v>
      </c>
    </row>
    <row r="67" spans="1:5" x14ac:dyDescent="0.3">
      <c r="A67" t="str" cm="1">
        <f t="array" aca="1" ref="A67" ca="1">IF(OR(INDIRECT($C$26&amp;"!B"&amp;(ROW()-$C$32+$C$31))="",$C$1="M2"),"",1+ROW(A67)-$C$32)</f>
        <v/>
      </c>
      <c r="B67" t="str" cm="1">
        <f t="array" aca="1" ref="B67" ca="1">IF(OR(INDIRECT(C$26&amp;"!B"&amp;(ROW()-C$32+C$31))="",$C$1="M2"),"",1+ROW(B67)-C$32)</f>
        <v/>
      </c>
      <c r="C67" t="str" cm="1">
        <f t="array" aca="1" ref="C67" ca="1">IF(ROW()&gt;(C$33+C$32-C$31),"",GammaSelfNext(C$29,INDIRECT(C$26&amp;"!A"&amp;ROW()-C$32+C$31&amp;":F"&amp;ROW()-C$32+C$31),C66))</f>
        <v/>
      </c>
      <c r="D67" t="e">
        <f t="shared" ca="1" si="0"/>
        <v>#N/A</v>
      </c>
      <c r="E67" t="e">
        <f t="shared" ca="1" si="1"/>
        <v>#N/A</v>
      </c>
    </row>
    <row r="68" spans="1:5" x14ac:dyDescent="0.3">
      <c r="A68" t="str" cm="1">
        <f t="array" aca="1" ref="A68" ca="1">IF(OR(INDIRECT($C$26&amp;"!B"&amp;(ROW()-$C$32+$C$31))="",$C$1="M2"),"",1+ROW(A68)-$C$32)</f>
        <v/>
      </c>
      <c r="B68" t="str" cm="1">
        <f t="array" aca="1" ref="B68" ca="1">IF(OR(INDIRECT(C$26&amp;"!B"&amp;(ROW()-C$32+C$31))="",$C$1="M2"),"",1+ROW(B68)-C$32)</f>
        <v/>
      </c>
      <c r="C68" t="str" cm="1">
        <f t="array" aca="1" ref="C68" ca="1">IF(ROW()&gt;(C$33+C$32-C$31),"",GammaSelfNext(C$29,INDIRECT(C$26&amp;"!A"&amp;ROW()-C$32+C$31&amp;":F"&amp;ROW()-C$32+C$31),C67))</f>
        <v/>
      </c>
      <c r="D68" t="e">
        <f t="shared" ca="1" si="0"/>
        <v>#N/A</v>
      </c>
      <c r="E68" t="e">
        <f t="shared" ca="1" si="1"/>
        <v>#N/A</v>
      </c>
    </row>
    <row r="69" spans="1:5" x14ac:dyDescent="0.3">
      <c r="A69" t="str" cm="1">
        <f t="array" aca="1" ref="A69" ca="1">IF(OR(INDIRECT($C$26&amp;"!B"&amp;(ROW()-$C$32+$C$31))="",$C$1="M2"),"",1+ROW(A69)-$C$32)</f>
        <v/>
      </c>
      <c r="B69" t="str" cm="1">
        <f t="array" aca="1" ref="B69" ca="1">IF(OR(INDIRECT(C$26&amp;"!B"&amp;(ROW()-C$32+C$31))="",$C$1="M2"),"",1+ROW(B69)-C$32)</f>
        <v/>
      </c>
      <c r="C69" t="str" cm="1">
        <f t="array" aca="1" ref="C69" ca="1">IF(ROW()&gt;(C$33+C$32-C$31),"",GammaSelfNext(C$29,INDIRECT(C$26&amp;"!A"&amp;ROW()-C$32+C$31&amp;":F"&amp;ROW()-C$32+C$31),C68))</f>
        <v/>
      </c>
      <c r="D69" t="e">
        <f t="shared" ca="1" si="0"/>
        <v>#N/A</v>
      </c>
      <c r="E69" t="e">
        <f t="shared" ca="1" si="1"/>
        <v>#N/A</v>
      </c>
    </row>
    <row r="70" spans="1:5" x14ac:dyDescent="0.3">
      <c r="A70" t="str" cm="1">
        <f t="array" aca="1" ref="A70" ca="1">IF(OR(INDIRECT($C$26&amp;"!B"&amp;(ROW()-$C$32+$C$31))="",$C$1="M2"),"",1+ROW(A70)-$C$32)</f>
        <v/>
      </c>
      <c r="B70" t="str" cm="1">
        <f t="array" aca="1" ref="B70" ca="1">IF(OR(INDIRECT(C$26&amp;"!B"&amp;(ROW()-C$32+C$31))="",$C$1="M2"),"",1+ROW(B70)-C$32)</f>
        <v/>
      </c>
      <c r="C70" t="str" cm="1">
        <f t="array" aca="1" ref="C70" ca="1">IF(ROW()&gt;(C$33+C$32-C$31),"",GammaSelfNext(C$29,INDIRECT(C$26&amp;"!A"&amp;ROW()-C$32+C$31&amp;":F"&amp;ROW()-C$32+C$31),C69))</f>
        <v/>
      </c>
      <c r="D70" t="e">
        <f t="shared" ca="1" si="0"/>
        <v>#N/A</v>
      </c>
      <c r="E70" t="e">
        <f t="shared" ca="1" si="1"/>
        <v>#N/A</v>
      </c>
    </row>
    <row r="71" spans="1:5" x14ac:dyDescent="0.3">
      <c r="A71" t="str" cm="1">
        <f t="array" aca="1" ref="A71" ca="1">IF(OR(INDIRECT($C$26&amp;"!B"&amp;(ROW()-$C$32+$C$31))="",$C$1="M2"),"",1+ROW(A71)-$C$32)</f>
        <v/>
      </c>
      <c r="B71" t="str" cm="1">
        <f t="array" aca="1" ref="B71" ca="1">IF(OR(INDIRECT(C$26&amp;"!B"&amp;(ROW()-C$32+C$31))="",$C$1="M2"),"",1+ROW(B71)-C$32)</f>
        <v/>
      </c>
      <c r="C71" t="str" cm="1">
        <f t="array" aca="1" ref="C71" ca="1">IF(ROW()&gt;(C$33+C$32-C$31),"",GammaSelfNext(C$29,INDIRECT(C$26&amp;"!A"&amp;ROW()-C$32+C$31&amp;":F"&amp;ROW()-C$32+C$31),C70))</f>
        <v/>
      </c>
      <c r="D71" t="e">
        <f t="shared" ca="1" si="0"/>
        <v>#N/A</v>
      </c>
      <c r="E71" t="e">
        <f t="shared" ca="1" si="1"/>
        <v>#N/A</v>
      </c>
    </row>
    <row r="72" spans="1:5" x14ac:dyDescent="0.3">
      <c r="A72" t="str" cm="1">
        <f t="array" aca="1" ref="A72" ca="1">IF(OR(INDIRECT($C$26&amp;"!B"&amp;(ROW()-$C$32+$C$31))="",$C$1="M2"),"",1+ROW(A72)-$C$32)</f>
        <v/>
      </c>
      <c r="B72" t="str" cm="1">
        <f t="array" aca="1" ref="B72" ca="1">IF(OR(INDIRECT(C$26&amp;"!B"&amp;(ROW()-C$32+C$31))="",$C$1="M2"),"",1+ROW(B72)-C$32)</f>
        <v/>
      </c>
      <c r="C72" t="str" cm="1">
        <f t="array" aca="1" ref="C72" ca="1">IF(ROW()&gt;(C$33+C$32-C$31),"",GammaSelfNext(C$29,INDIRECT(C$26&amp;"!A"&amp;ROW()-C$32+C$31&amp;":F"&amp;ROW()-C$32+C$31),C71))</f>
        <v/>
      </c>
      <c r="D72" t="e">
        <f t="shared" ca="1" si="0"/>
        <v>#N/A</v>
      </c>
      <c r="E72" t="e">
        <f t="shared" ca="1" si="1"/>
        <v>#N/A</v>
      </c>
    </row>
    <row r="73" spans="1:5" x14ac:dyDescent="0.3">
      <c r="A73" t="str" cm="1">
        <f t="array" aca="1" ref="A73" ca="1">IF(OR(INDIRECT($C$26&amp;"!B"&amp;(ROW()-$C$32+$C$31))="",$C$1="M2"),"",1+ROW(A73)-$C$32)</f>
        <v/>
      </c>
      <c r="B73" t="str" cm="1">
        <f t="array" aca="1" ref="B73" ca="1">IF(OR(INDIRECT(C$26&amp;"!B"&amp;(ROW()-C$32+C$31))="",$C$1="M2"),"",1+ROW(B73)-C$32)</f>
        <v/>
      </c>
      <c r="C73" t="str" cm="1">
        <f t="array" aca="1" ref="C73" ca="1">IF(ROW()&gt;(C$33+C$32-C$31),"",GammaSelfNext(C$29,INDIRECT(C$26&amp;"!A"&amp;ROW()-C$32+C$31&amp;":F"&amp;ROW()-C$32+C$31),C72))</f>
        <v/>
      </c>
      <c r="D73" t="e">
        <f t="shared" ca="1" si="0"/>
        <v>#N/A</v>
      </c>
      <c r="E73" t="e">
        <f t="shared" ca="1" si="1"/>
        <v>#N/A</v>
      </c>
    </row>
    <row r="74" spans="1:5" x14ac:dyDescent="0.3">
      <c r="A74" t="str" cm="1">
        <f t="array" aca="1" ref="A74" ca="1">IF(OR(INDIRECT($C$26&amp;"!B"&amp;(ROW()-$C$32+$C$31))="",$C$1="M2"),"",1+ROW(A74)-$C$32)</f>
        <v/>
      </c>
      <c r="B74" t="str" cm="1">
        <f t="array" aca="1" ref="B74" ca="1">IF(OR(INDIRECT(C$26&amp;"!B"&amp;(ROW()-C$32+C$31))="",$C$1="M2"),"",1+ROW(B74)-C$32)</f>
        <v/>
      </c>
      <c r="C74" t="str" cm="1">
        <f t="array" aca="1" ref="C74" ca="1">IF(ROW()&gt;(C$33+C$32-C$31),"",GammaSelfNext(C$29,INDIRECT(C$26&amp;"!A"&amp;ROW()-C$32+C$31&amp;":F"&amp;ROW()-C$32+C$31),C73))</f>
        <v/>
      </c>
      <c r="D74" t="e">
        <f t="shared" ca="1" si="0"/>
        <v>#N/A</v>
      </c>
      <c r="E74" t="e">
        <f t="shared" ca="1" si="1"/>
        <v>#N/A</v>
      </c>
    </row>
    <row r="75" spans="1:5" x14ac:dyDescent="0.3">
      <c r="A75" t="str" cm="1">
        <f t="array" aca="1" ref="A75" ca="1">IF(OR(INDIRECT($C$26&amp;"!B"&amp;(ROW()-$C$32+$C$31))="",$C$1="M2"),"",1+ROW(A75)-$C$32)</f>
        <v/>
      </c>
      <c r="B75" t="str" cm="1">
        <f t="array" aca="1" ref="B75" ca="1">IF(OR(INDIRECT(C$26&amp;"!B"&amp;(ROW()-C$32+C$31))="",$C$1="M2"),"",1+ROW(B75)-C$32)</f>
        <v/>
      </c>
      <c r="C75" t="str" cm="1">
        <f t="array" aca="1" ref="C75" ca="1">IF(ROW()&gt;(C$33+C$32-C$31),"",GammaSelfNext(C$29,INDIRECT(C$26&amp;"!A"&amp;ROW()-C$32+C$31&amp;":F"&amp;ROW()-C$32+C$31),C74))</f>
        <v/>
      </c>
      <c r="D75" t="e">
        <f t="shared" ca="1" si="0"/>
        <v>#N/A</v>
      </c>
      <c r="E75" t="e">
        <f t="shared" ca="1" si="1"/>
        <v>#N/A</v>
      </c>
    </row>
    <row r="76" spans="1:5" x14ac:dyDescent="0.3">
      <c r="A76" t="str" cm="1">
        <f t="array" aca="1" ref="A76" ca="1">IF(OR(INDIRECT($C$26&amp;"!B"&amp;(ROW()-$C$32+$C$31))="",$C$1="M2"),"",1+ROW(A76)-$C$32)</f>
        <v/>
      </c>
      <c r="B76" t="str" cm="1">
        <f t="array" aca="1" ref="B76" ca="1">IF(OR(INDIRECT(C$26&amp;"!B"&amp;(ROW()-C$32+C$31))="",$C$1="M2"),"",1+ROW(B76)-C$32)</f>
        <v/>
      </c>
      <c r="C76" t="str" cm="1">
        <f t="array" aca="1" ref="C76" ca="1">IF(ROW()&gt;(C$33+C$32-C$31),"",GammaSelfNext(C$29,INDIRECT(C$26&amp;"!A"&amp;ROW()-C$32+C$31&amp;":F"&amp;ROW()-C$32+C$31),C75))</f>
        <v/>
      </c>
      <c r="D76" t="e">
        <f t="shared" ca="1" si="0"/>
        <v>#N/A</v>
      </c>
      <c r="E76" t="e">
        <f t="shared" ca="1" si="1"/>
        <v>#N/A</v>
      </c>
    </row>
    <row r="77" spans="1:5" x14ac:dyDescent="0.3">
      <c r="A77" t="str" cm="1">
        <f t="array" aca="1" ref="A77" ca="1">IF(OR(INDIRECT($C$26&amp;"!B"&amp;(ROW()-$C$32+$C$31))="",$C$1="M2"),"",1+ROW(A77)-$C$32)</f>
        <v/>
      </c>
      <c r="B77" t="str" cm="1">
        <f t="array" aca="1" ref="B77" ca="1">IF(OR(INDIRECT(C$26&amp;"!B"&amp;(ROW()-C$32+C$31))="",$C$1="M2"),"",1+ROW(B77)-C$32)</f>
        <v/>
      </c>
      <c r="C77" t="str" cm="1">
        <f t="array" aca="1" ref="C77" ca="1">IF(ROW()&gt;(C$33+C$32-C$31),"",GammaSelfNext(C$29,INDIRECT(C$26&amp;"!A"&amp;ROW()-C$32+C$31&amp;":F"&amp;ROW()-C$32+C$31),C76))</f>
        <v/>
      </c>
      <c r="D77" t="e">
        <f t="shared" ca="1" si="0"/>
        <v>#N/A</v>
      </c>
      <c r="E77" t="e">
        <f t="shared" ca="1" si="1"/>
        <v>#N/A</v>
      </c>
    </row>
    <row r="78" spans="1:5" x14ac:dyDescent="0.3">
      <c r="A78" t="str" cm="1">
        <f t="array" aca="1" ref="A78" ca="1">IF(OR(INDIRECT($C$26&amp;"!B"&amp;(ROW()-$C$32+$C$31))="",$C$1="M2"),"",1+ROW(A78)-$C$32)</f>
        <v/>
      </c>
      <c r="B78" t="str" cm="1">
        <f t="array" aca="1" ref="B78" ca="1">IF(OR(INDIRECT(C$26&amp;"!B"&amp;(ROW()-C$32+C$31))="",$C$1="M2"),"",1+ROW(B78)-C$32)</f>
        <v/>
      </c>
      <c r="C78" t="str" cm="1">
        <f t="array" aca="1" ref="C78" ca="1">IF(ROW()&gt;(C$33+C$32-C$31),"",GammaSelfNext(C$29,INDIRECT(C$26&amp;"!A"&amp;ROW()-C$32+C$31&amp;":F"&amp;ROW()-C$32+C$31),C77))</f>
        <v/>
      </c>
      <c r="D78" t="e">
        <f t="shared" ca="1" si="0"/>
        <v>#N/A</v>
      </c>
      <c r="E78" t="e">
        <f t="shared" ca="1" si="1"/>
        <v>#N/A</v>
      </c>
    </row>
    <row r="79" spans="1:5" x14ac:dyDescent="0.3">
      <c r="A79" t="str" cm="1">
        <f t="array" aca="1" ref="A79" ca="1">IF(OR(INDIRECT($C$26&amp;"!B"&amp;(ROW()-$C$32+$C$31))="",$C$1="M2"),"",1+ROW(A79)-$C$32)</f>
        <v/>
      </c>
      <c r="B79" t="str" cm="1">
        <f t="array" aca="1" ref="B79" ca="1">IF(OR(INDIRECT(C$26&amp;"!B"&amp;(ROW()-C$32+C$31))="",$C$1="M2"),"",1+ROW(B79)-C$32)</f>
        <v/>
      </c>
      <c r="C79" t="str" cm="1">
        <f t="array" aca="1" ref="C79" ca="1">IF(ROW()&gt;(C$33+C$32-C$31),"",GammaSelfNext(C$29,INDIRECT(C$26&amp;"!A"&amp;ROW()-C$32+C$31&amp;":F"&amp;ROW()-C$32+C$31),C78))</f>
        <v/>
      </c>
      <c r="D79" t="e">
        <f t="shared" ca="1" si="0"/>
        <v>#N/A</v>
      </c>
      <c r="E79" t="e">
        <f t="shared" ca="1" si="1"/>
        <v>#N/A</v>
      </c>
    </row>
    <row r="80" spans="1:5" x14ac:dyDescent="0.3">
      <c r="A80" t="str" cm="1">
        <f t="array" aca="1" ref="A80" ca="1">IF(OR(INDIRECT($C$26&amp;"!B"&amp;(ROW()-$C$32+$C$31))="",$C$1="M2"),"",1+ROW(A80)-$C$32)</f>
        <v/>
      </c>
      <c r="B80" t="str" cm="1">
        <f t="array" aca="1" ref="B80" ca="1">IF(OR(INDIRECT(C$26&amp;"!B"&amp;(ROW()-C$32+C$31))="",$C$1="M2"),"",1+ROW(B80)-C$32)</f>
        <v/>
      </c>
      <c r="C80" t="str" cm="1">
        <f t="array" aca="1" ref="C80" ca="1">IF(ROW()&gt;(C$33+C$32-C$31),"",GammaSelfNext(C$29,INDIRECT(C$26&amp;"!A"&amp;ROW()-C$32+C$31&amp;":F"&amp;ROW()-C$32+C$31),C79))</f>
        <v/>
      </c>
      <c r="D80" t="e">
        <f t="shared" ca="1" si="0"/>
        <v>#N/A</v>
      </c>
      <c r="E80" t="e">
        <f t="shared" ca="1" si="1"/>
        <v>#N/A</v>
      </c>
    </row>
    <row r="81" spans="1:5" x14ac:dyDescent="0.3">
      <c r="A81" t="str" cm="1">
        <f t="array" aca="1" ref="A81" ca="1">IF(OR(INDIRECT($C$26&amp;"!B"&amp;(ROW()-$C$32+$C$31))="",$C$1="M2"),"",1+ROW(A81)-$C$32)</f>
        <v/>
      </c>
      <c r="B81" t="str" cm="1">
        <f t="array" aca="1" ref="B81" ca="1">IF(OR(INDIRECT(C$26&amp;"!B"&amp;(ROW()-C$32+C$31))="",$C$1="M2"),"",1+ROW(B81)-C$32)</f>
        <v/>
      </c>
      <c r="C81" t="str" cm="1">
        <f t="array" aca="1" ref="C81" ca="1">IF(ROW()&gt;(C$33+C$32-C$31),"",GammaSelfNext(C$29,INDIRECT(C$26&amp;"!A"&amp;ROW()-C$32+C$31&amp;":F"&amp;ROW()-C$32+C$31),C80))</f>
        <v/>
      </c>
      <c r="D81" t="e">
        <f t="shared" ca="1" si="0"/>
        <v>#N/A</v>
      </c>
      <c r="E81" t="e">
        <f t="shared" ca="1" si="1"/>
        <v>#N/A</v>
      </c>
    </row>
    <row r="82" spans="1:5" x14ac:dyDescent="0.3">
      <c r="A82" t="str" cm="1">
        <f t="array" aca="1" ref="A82" ca="1">IF(OR(INDIRECT($C$26&amp;"!B"&amp;(ROW()-$C$32+$C$31))="",$C$1="M2"),"",1+ROW(A82)-$C$32)</f>
        <v/>
      </c>
      <c r="B82" t="str" cm="1">
        <f t="array" aca="1" ref="B82" ca="1">IF(OR(INDIRECT(C$26&amp;"!B"&amp;(ROW()-C$32+C$31))="",$C$1="M2"),"",1+ROW(B82)-C$32)</f>
        <v/>
      </c>
      <c r="C82" t="str" cm="1">
        <f t="array" aca="1" ref="C82" ca="1">IF(ROW()&gt;(C$33+C$32-C$31),"",GammaSelfNext(C$29,INDIRECT(C$26&amp;"!A"&amp;ROW()-C$32+C$31&amp;":F"&amp;ROW()-C$32+C$31),C81))</f>
        <v/>
      </c>
      <c r="D82" t="e">
        <f t="shared" ca="1" si="0"/>
        <v>#N/A</v>
      </c>
      <c r="E82" t="e">
        <f t="shared" ca="1" si="1"/>
        <v>#N/A</v>
      </c>
    </row>
    <row r="83" spans="1:5" x14ac:dyDescent="0.3">
      <c r="A83" t="str" cm="1">
        <f t="array" aca="1" ref="A83" ca="1">IF(OR(INDIRECT($C$26&amp;"!B"&amp;(ROW()-$C$32+$C$31))="",$C$1="M2"),"",1+ROW(A83)-$C$32)</f>
        <v/>
      </c>
      <c r="B83" t="str" cm="1">
        <f t="array" aca="1" ref="B83" ca="1">IF(OR(INDIRECT(C$26&amp;"!B"&amp;(ROW()-C$32+C$31))="",$C$1="M2"),"",1+ROW(B83)-C$32)</f>
        <v/>
      </c>
      <c r="C83" t="str" cm="1">
        <f t="array" aca="1" ref="C83" ca="1">IF(ROW()&gt;(C$33+C$32-C$31),"",GammaSelfNext(C$29,INDIRECT(C$26&amp;"!A"&amp;ROW()-C$32+C$31&amp;":F"&amp;ROW()-C$32+C$31),C82))</f>
        <v/>
      </c>
      <c r="D83" t="e">
        <f t="shared" ca="1" si="0"/>
        <v>#N/A</v>
      </c>
      <c r="E83" t="e">
        <f t="shared" ca="1" si="1"/>
        <v>#N/A</v>
      </c>
    </row>
    <row r="84" spans="1:5" x14ac:dyDescent="0.3">
      <c r="A84" t="str" cm="1">
        <f t="array" aca="1" ref="A84" ca="1">IF(OR(INDIRECT($C$26&amp;"!B"&amp;(ROW()-$C$32+$C$31))="",$C$1="M2"),"",1+ROW(A84)-$C$32)</f>
        <v/>
      </c>
      <c r="B84" t="str" cm="1">
        <f t="array" aca="1" ref="B84" ca="1">IF(OR(INDIRECT(C$26&amp;"!B"&amp;(ROW()-C$32+C$31))="",$C$1="M2"),"",1+ROW(B84)-C$32)</f>
        <v/>
      </c>
      <c r="C84" t="str" cm="1">
        <f t="array" aca="1" ref="C84" ca="1">IF(ROW()&gt;(C$33+C$32-C$31),"",GammaSelfNext(C$29,INDIRECT(C$26&amp;"!A"&amp;ROW()-C$32+C$31&amp;":F"&amp;ROW()-C$32+C$31),C83))</f>
        <v/>
      </c>
      <c r="D84" t="e">
        <f t="shared" ca="1" si="0"/>
        <v>#N/A</v>
      </c>
      <c r="E84" t="e">
        <f t="shared" ca="1" si="1"/>
        <v>#N/A</v>
      </c>
    </row>
    <row r="85" spans="1:5" x14ac:dyDescent="0.3">
      <c r="A85" t="str" cm="1">
        <f t="array" aca="1" ref="A85" ca="1">IF(OR(INDIRECT($C$26&amp;"!B"&amp;(ROW()-$C$32+$C$31))="",$C$1="M2"),"",1+ROW(A85)-$C$32)</f>
        <v/>
      </c>
      <c r="B85" t="str" cm="1">
        <f t="array" aca="1" ref="B85" ca="1">IF(OR(INDIRECT(C$26&amp;"!B"&amp;(ROW()-C$32+C$31))="",$C$1="M2"),"",1+ROW(B85)-C$32)</f>
        <v/>
      </c>
      <c r="C85" t="str" cm="1">
        <f t="array" aca="1" ref="C85" ca="1">IF(ROW()&gt;(C$33+C$32-C$31),"",GammaSelfNext(C$29,INDIRECT(C$26&amp;"!A"&amp;ROW()-C$32+C$31&amp;":F"&amp;ROW()-C$32+C$31),C84))</f>
        <v/>
      </c>
      <c r="D85" t="e">
        <f t="shared" ca="1" si="0"/>
        <v>#N/A</v>
      </c>
      <c r="E85" t="e">
        <f t="shared" ca="1" si="1"/>
        <v>#N/A</v>
      </c>
    </row>
    <row r="86" spans="1:5" x14ac:dyDescent="0.3">
      <c r="A86" t="str" cm="1">
        <f t="array" aca="1" ref="A86" ca="1">IF(OR(INDIRECT($C$26&amp;"!B"&amp;(ROW()-$C$32+$C$31))="",$C$1="M2"),"",1+ROW(A86)-$C$32)</f>
        <v/>
      </c>
      <c r="B86" t="str" cm="1">
        <f t="array" aca="1" ref="B86" ca="1">IF(OR(INDIRECT(C$26&amp;"!B"&amp;(ROW()-C$32+C$31))="",$C$1="M2"),"",1+ROW(B86)-C$32)</f>
        <v/>
      </c>
      <c r="C86" t="str" cm="1">
        <f t="array" aca="1" ref="C86" ca="1">IF(ROW()&gt;(C$33+C$32-C$31),"",GammaSelfNext(C$29,INDIRECT(C$26&amp;"!A"&amp;ROW()-C$32+C$31&amp;":F"&amp;ROW()-C$32+C$31),C85))</f>
        <v/>
      </c>
      <c r="D86" t="e">
        <f t="shared" ca="1" si="0"/>
        <v>#N/A</v>
      </c>
      <c r="E86" t="e">
        <f t="shared" ca="1" si="1"/>
        <v>#N/A</v>
      </c>
    </row>
    <row r="87" spans="1:5" x14ac:dyDescent="0.3">
      <c r="A87" t="str" cm="1">
        <f t="array" aca="1" ref="A87" ca="1">IF(OR(INDIRECT($C$26&amp;"!B"&amp;(ROW()-$C$32+$C$31))="",$C$1="M2"),"",1+ROW(A87)-$C$32)</f>
        <v/>
      </c>
      <c r="B87" t="str" cm="1">
        <f t="array" aca="1" ref="B87" ca="1">IF(OR(INDIRECT(C$26&amp;"!B"&amp;(ROW()-C$32+C$31))="",$C$1="M2"),"",1+ROW(B87)-C$32)</f>
        <v/>
      </c>
      <c r="C87" t="str" cm="1">
        <f t="array" aca="1" ref="C87" ca="1">IF(ROW()&gt;(C$33+C$32-C$31),"",GammaSelfNext(C$29,INDIRECT(C$26&amp;"!A"&amp;ROW()-C$32+C$31&amp;":F"&amp;ROW()-C$32+C$31),C86))</f>
        <v/>
      </c>
      <c r="D87" t="e">
        <f t="shared" ca="1" si="0"/>
        <v>#N/A</v>
      </c>
      <c r="E87" t="e">
        <f t="shared" ca="1" si="1"/>
        <v>#N/A</v>
      </c>
    </row>
    <row r="88" spans="1:5" x14ac:dyDescent="0.3">
      <c r="A88" t="str" cm="1">
        <f t="array" aca="1" ref="A88" ca="1">IF(OR(INDIRECT($C$26&amp;"!B"&amp;(ROW()-$C$32+$C$31))="",$C$1="M2"),"",1+ROW(A88)-$C$32)</f>
        <v/>
      </c>
      <c r="B88" t="str" cm="1">
        <f t="array" aca="1" ref="B88" ca="1">IF(OR(INDIRECT(C$26&amp;"!B"&amp;(ROW()-C$32+C$31))="",$C$1="M2"),"",1+ROW(B88)-C$32)</f>
        <v/>
      </c>
      <c r="C88" t="str" cm="1">
        <f t="array" aca="1" ref="C88" ca="1">IF(ROW()&gt;(C$33+C$32-C$31),"",GammaSelfNext(C$29,INDIRECT(C$26&amp;"!A"&amp;ROW()-C$32+C$31&amp;":F"&amp;ROW()-C$32+C$31),C87))</f>
        <v/>
      </c>
      <c r="D88" t="e">
        <f t="shared" ca="1" si="0"/>
        <v>#N/A</v>
      </c>
      <c r="E88" t="e">
        <f t="shared" ca="1" si="1"/>
        <v>#N/A</v>
      </c>
    </row>
    <row r="89" spans="1:5" x14ac:dyDescent="0.3">
      <c r="A89" t="str" cm="1">
        <f t="array" aca="1" ref="A89" ca="1">IF(OR(INDIRECT($C$26&amp;"!B"&amp;(ROW()-$C$32+$C$31))="",$C$1="M2"),"",1+ROW(A89)-$C$32)</f>
        <v/>
      </c>
      <c r="B89" t="str" cm="1">
        <f t="array" aca="1" ref="B89" ca="1">IF(OR(INDIRECT(C$26&amp;"!B"&amp;(ROW()-C$32+C$31))="",$C$1="M2"),"",1+ROW(B89)-C$32)</f>
        <v/>
      </c>
      <c r="C89" t="str" cm="1">
        <f t="array" aca="1" ref="C89" ca="1">IF(ROW()&gt;(C$33+C$32-C$31),"",GammaSelfNext(C$29,INDIRECT(C$26&amp;"!A"&amp;ROW()-C$32+C$31&amp;":F"&amp;ROW()-C$32+C$31),C88))</f>
        <v/>
      </c>
      <c r="D89" t="e">
        <f t="shared" ca="1" si="0"/>
        <v>#N/A</v>
      </c>
      <c r="E89" t="e">
        <f t="shared" ca="1" si="1"/>
        <v>#N/A</v>
      </c>
    </row>
    <row r="90" spans="1:5" x14ac:dyDescent="0.3">
      <c r="A90" t="str" cm="1">
        <f t="array" aca="1" ref="A90" ca="1">IF(OR(INDIRECT($C$26&amp;"!B"&amp;(ROW()-$C$32+$C$31))="",$C$1="M2"),"",1+ROW(A90)-$C$32)</f>
        <v/>
      </c>
      <c r="B90" t="str" cm="1">
        <f t="array" aca="1" ref="B90" ca="1">IF(OR(INDIRECT(C$26&amp;"!B"&amp;(ROW()-C$32+C$31))="",$C$1="M2"),"",1+ROW(B90)-C$32)</f>
        <v/>
      </c>
      <c r="C90" t="str" cm="1">
        <f t="array" aca="1" ref="C90" ca="1">IF(ROW()&gt;(C$33+C$32-C$31),"",GammaSelfNext(C$29,INDIRECT(C$26&amp;"!A"&amp;ROW()-C$32+C$31&amp;":F"&amp;ROW()-C$32+C$31),C89))</f>
        <v/>
      </c>
      <c r="D90" t="e">
        <f t="shared" ca="1" si="0"/>
        <v>#N/A</v>
      </c>
      <c r="E90" t="e">
        <f t="shared" ca="1" si="1"/>
        <v>#N/A</v>
      </c>
    </row>
    <row r="91" spans="1:5" x14ac:dyDescent="0.3">
      <c r="A91" t="str" cm="1">
        <f t="array" aca="1" ref="A91" ca="1">IF(OR(INDIRECT($C$26&amp;"!B"&amp;(ROW()-$C$32+$C$31))="",$C$1="M2"),"",1+ROW(A91)-$C$32)</f>
        <v/>
      </c>
      <c r="B91" t="str" cm="1">
        <f t="array" aca="1" ref="B91" ca="1">IF(OR(INDIRECT(C$26&amp;"!B"&amp;(ROW()-C$32+C$31))="",$C$1="M2"),"",1+ROW(B91)-C$32)</f>
        <v/>
      </c>
      <c r="C91" t="str" cm="1">
        <f t="array" aca="1" ref="C91" ca="1">IF(ROW()&gt;(C$33+C$32-C$31),"",GammaSelfNext(C$29,INDIRECT(C$26&amp;"!A"&amp;ROW()-C$32+C$31&amp;":F"&amp;ROW()-C$32+C$31),C90))</f>
        <v/>
      </c>
      <c r="D91" t="e">
        <f t="shared" ca="1" si="0"/>
        <v>#N/A</v>
      </c>
      <c r="E91" t="e">
        <f t="shared" ca="1" si="1"/>
        <v>#N/A</v>
      </c>
    </row>
    <row r="92" spans="1:5" x14ac:dyDescent="0.3">
      <c r="A92" t="str" cm="1">
        <f t="array" aca="1" ref="A92" ca="1">IF(OR(INDIRECT($C$26&amp;"!B"&amp;(ROW()-$C$32+$C$31))="",$C$1="M2"),"",1+ROW(A92)-$C$32)</f>
        <v/>
      </c>
      <c r="B92" t="str" cm="1">
        <f t="array" aca="1" ref="B92" ca="1">IF(OR(INDIRECT(C$26&amp;"!B"&amp;(ROW()-C$32+C$31))="",$C$1="M2"),"",1+ROW(B92)-C$32)</f>
        <v/>
      </c>
      <c r="C92" t="str" cm="1">
        <f t="array" aca="1" ref="C92" ca="1">IF(ROW()&gt;(C$33+C$32-C$31),"",GammaSelfNext(C$29,INDIRECT(C$26&amp;"!A"&amp;ROW()-C$32+C$31&amp;":F"&amp;ROW()-C$32+C$31),C91))</f>
        <v/>
      </c>
      <c r="D92" t="e">
        <f t="shared" ca="1" si="0"/>
        <v>#N/A</v>
      </c>
      <c r="E92" t="e">
        <f t="shared" ca="1" si="1"/>
        <v>#N/A</v>
      </c>
    </row>
    <row r="93" spans="1:5" x14ac:dyDescent="0.3">
      <c r="A93" t="str" cm="1">
        <f t="array" aca="1" ref="A93" ca="1">IF(OR(INDIRECT($C$26&amp;"!B"&amp;(ROW()-$C$32+$C$31))="",$C$1="M2"),"",1+ROW(A93)-$C$32)</f>
        <v/>
      </c>
      <c r="B93" t="str" cm="1">
        <f t="array" aca="1" ref="B93" ca="1">IF(OR(INDIRECT(C$26&amp;"!B"&amp;(ROW()-C$32+C$31))="",$C$1="M2"),"",1+ROW(B93)-C$32)</f>
        <v/>
      </c>
      <c r="C93" t="str" cm="1">
        <f t="array" aca="1" ref="C93" ca="1">IF(ROW()&gt;(C$33+C$32-C$31),"",GammaSelfNext(C$29,INDIRECT(C$26&amp;"!A"&amp;ROW()-C$32+C$31&amp;":F"&amp;ROW()-C$32+C$31),C92))</f>
        <v/>
      </c>
      <c r="D93" t="e">
        <f t="shared" ca="1" si="0"/>
        <v>#N/A</v>
      </c>
      <c r="E93" t="e">
        <f t="shared" ca="1" si="1"/>
        <v>#N/A</v>
      </c>
    </row>
    <row r="94" spans="1:5" x14ac:dyDescent="0.3">
      <c r="A94" t="str" cm="1">
        <f t="array" aca="1" ref="A94" ca="1">IF(OR(INDIRECT($C$26&amp;"!B"&amp;(ROW()-$C$32+$C$31))="",$C$1="M2"),"",1+ROW(A94)-$C$32)</f>
        <v/>
      </c>
      <c r="B94" t="str" cm="1">
        <f t="array" aca="1" ref="B94" ca="1">IF(OR(INDIRECT(C$26&amp;"!B"&amp;(ROW()-C$32+C$31))="",$C$1="M2"),"",1+ROW(B94)-C$32)</f>
        <v/>
      </c>
      <c r="C94" t="str" cm="1">
        <f t="array" aca="1" ref="C94" ca="1">IF(ROW()&gt;(C$33+C$32-C$31),"",GammaSelfNext(C$29,INDIRECT(C$26&amp;"!A"&amp;ROW()-C$32+C$31&amp;":F"&amp;ROW()-C$32+C$31),C93))</f>
        <v/>
      </c>
      <c r="D94" t="e">
        <f t="shared" ca="1" si="0"/>
        <v>#N/A</v>
      </c>
      <c r="E94" t="e">
        <f t="shared" ca="1" si="1"/>
        <v>#N/A</v>
      </c>
    </row>
    <row r="95" spans="1:5" x14ac:dyDescent="0.3">
      <c r="A95" t="str" cm="1">
        <f t="array" aca="1" ref="A95" ca="1">IF(OR(INDIRECT($C$26&amp;"!B"&amp;(ROW()-$C$32+$C$31))="",$C$1="M2"),"",1+ROW(A95)-$C$32)</f>
        <v/>
      </c>
      <c r="B95" t="str" cm="1">
        <f t="array" aca="1" ref="B95" ca="1">IF(OR(INDIRECT(C$26&amp;"!B"&amp;(ROW()-C$32+C$31))="",$C$1="M2"),"",1+ROW(B95)-C$32)</f>
        <v/>
      </c>
      <c r="C95" t="str" cm="1">
        <f t="array" aca="1" ref="C95" ca="1">IF(ROW()&gt;(C$33+C$32-C$31),"",GammaSelfNext(C$29,INDIRECT(C$26&amp;"!A"&amp;ROW()-C$32+C$31&amp;":F"&amp;ROW()-C$32+C$31),C94))</f>
        <v/>
      </c>
      <c r="D95" t="e">
        <f t="shared" ca="1" si="0"/>
        <v>#N/A</v>
      </c>
      <c r="E95" t="e">
        <f t="shared" ca="1" si="1"/>
        <v>#N/A</v>
      </c>
    </row>
    <row r="96" spans="1:5" x14ac:dyDescent="0.3">
      <c r="A96" t="str" cm="1">
        <f t="array" aca="1" ref="A96" ca="1">IF(OR(INDIRECT($C$26&amp;"!B"&amp;(ROW()-$C$32+$C$31))="",$C$1="M2"),"",1+ROW(A96)-$C$32)</f>
        <v/>
      </c>
      <c r="B96" t="str" cm="1">
        <f t="array" aca="1" ref="B96" ca="1">IF(OR(INDIRECT(C$26&amp;"!B"&amp;(ROW()-C$32+C$31))="",$C$1="M2"),"",1+ROW(B96)-C$32)</f>
        <v/>
      </c>
      <c r="C96" t="str" cm="1">
        <f t="array" aca="1" ref="C96" ca="1">IF(ROW()&gt;(C$33+C$32-C$31),"",GammaSelfNext(C$29,INDIRECT(C$26&amp;"!A"&amp;ROW()-C$32+C$31&amp;":F"&amp;ROW()-C$32+C$31),C95))</f>
        <v/>
      </c>
      <c r="D96" t="e">
        <f t="shared" ca="1" si="0"/>
        <v>#N/A</v>
      </c>
      <c r="E96" t="e">
        <f t="shared" ca="1" si="1"/>
        <v>#N/A</v>
      </c>
    </row>
    <row r="97" spans="1:5" x14ac:dyDescent="0.3">
      <c r="A97" t="str" cm="1">
        <f t="array" aca="1" ref="A97" ca="1">IF(OR(INDIRECT($C$26&amp;"!B"&amp;(ROW()-$C$32+$C$31))="",$C$1="M2"),"",1+ROW(A97)-$C$32)</f>
        <v/>
      </c>
      <c r="B97" t="str" cm="1">
        <f t="array" aca="1" ref="B97" ca="1">IF(OR(INDIRECT(C$26&amp;"!B"&amp;(ROW()-C$32+C$31))="",$C$1="M2"),"",1+ROW(B97)-C$32)</f>
        <v/>
      </c>
      <c r="C97" t="str" cm="1">
        <f t="array" aca="1" ref="C97" ca="1">IF(ROW()&gt;(C$33+C$32-C$31),"",GammaSelfNext(C$29,INDIRECT(C$26&amp;"!A"&amp;ROW()-C$32+C$31&amp;":F"&amp;ROW()-C$32+C$31),C96))</f>
        <v/>
      </c>
      <c r="D97" t="e">
        <f t="shared" ca="1" si="0"/>
        <v>#N/A</v>
      </c>
      <c r="E97" t="e">
        <f t="shared" ca="1" si="1"/>
        <v>#N/A</v>
      </c>
    </row>
    <row r="98" spans="1:5" x14ac:dyDescent="0.3">
      <c r="A98" t="str" cm="1">
        <f t="array" aca="1" ref="A98" ca="1">IF(OR(INDIRECT($C$26&amp;"!B"&amp;(ROW()-$C$32+$C$31))="",$C$1="M2"),"",1+ROW(A98)-$C$32)</f>
        <v/>
      </c>
      <c r="B98" t="str" cm="1">
        <f t="array" aca="1" ref="B98" ca="1">IF(OR(INDIRECT(C$26&amp;"!B"&amp;(ROW()-C$32+C$31))="",$C$1="M2"),"",1+ROW(B98)-C$32)</f>
        <v/>
      </c>
      <c r="C98" t="str" cm="1">
        <f t="array" aca="1" ref="C98" ca="1">IF(ROW()&gt;(C$33+C$32-C$31),"",GammaSelfNext(C$29,INDIRECT(C$26&amp;"!A"&amp;ROW()-C$32+C$31&amp;":F"&amp;ROW()-C$32+C$31),C97))</f>
        <v/>
      </c>
      <c r="D98" t="e">
        <f t="shared" ca="1" si="0"/>
        <v>#N/A</v>
      </c>
      <c r="E98" t="e">
        <f t="shared" ca="1" si="1"/>
        <v>#N/A</v>
      </c>
    </row>
    <row r="99" spans="1:5" x14ac:dyDescent="0.3">
      <c r="A99" t="str" cm="1">
        <f t="array" aca="1" ref="A99" ca="1">IF(OR(INDIRECT($C$26&amp;"!B"&amp;(ROW()-$C$32+$C$31))="",$C$1="M2"),"",1+ROW(A99)-$C$32)</f>
        <v/>
      </c>
      <c r="B99" t="str" cm="1">
        <f t="array" aca="1" ref="B99" ca="1">IF(OR(INDIRECT(C$26&amp;"!B"&amp;(ROW()-C$32+C$31))="",$C$1="M2"),"",1+ROW(B99)-C$32)</f>
        <v/>
      </c>
      <c r="C99" t="str" cm="1">
        <f t="array" aca="1" ref="C99" ca="1">IF(ROW()&gt;(C$33+C$32-C$31),"",GammaSelfNext(C$29,INDIRECT(C$26&amp;"!A"&amp;ROW()-C$32+C$31&amp;":F"&amp;ROW()-C$32+C$31),C98))</f>
        <v/>
      </c>
      <c r="D99" t="e">
        <f t="shared" ca="1" si="0"/>
        <v>#N/A</v>
      </c>
      <c r="E99" t="e">
        <f t="shared" ca="1" si="1"/>
        <v>#N/A</v>
      </c>
    </row>
    <row r="100" spans="1:5" x14ac:dyDescent="0.3">
      <c r="A100" t="str" cm="1">
        <f t="array" aca="1" ref="A100" ca="1">IF(OR(INDIRECT($C$26&amp;"!B"&amp;(ROW()-$C$32+$C$31))="",$C$1="M2"),"",1+ROW(A100)-$C$32)</f>
        <v/>
      </c>
      <c r="B100" t="str" cm="1">
        <f t="array" aca="1" ref="B100" ca="1">IF(OR(INDIRECT(C$26&amp;"!B"&amp;(ROW()-C$32+C$31))="",$C$1="M2"),"",1+ROW(B100)-C$32)</f>
        <v/>
      </c>
      <c r="C100" t="str" cm="1">
        <f t="array" aca="1" ref="C100" ca="1">IF(ROW()&gt;(C$33+C$32-C$31),"",GammaSelfNext(C$29,INDIRECT(C$26&amp;"!A"&amp;ROW()-C$32+C$31&amp;":F"&amp;ROW()-C$32+C$31),C99))</f>
        <v/>
      </c>
      <c r="D100" t="e">
        <f t="shared" ca="1" si="0"/>
        <v>#N/A</v>
      </c>
      <c r="E100" t="e">
        <f t="shared" ca="1" si="1"/>
        <v>#N/A</v>
      </c>
    </row>
    <row r="101" spans="1:5" x14ac:dyDescent="0.3">
      <c r="A101" t="str" cm="1">
        <f t="array" aca="1" ref="A101" ca="1">IF(OR(INDIRECT($C$26&amp;"!B"&amp;(ROW()-$C$32+$C$31))="",$C$1="M2"),"",1+ROW(A101)-$C$32)</f>
        <v/>
      </c>
      <c r="B101" t="str" cm="1">
        <f t="array" aca="1" ref="B101" ca="1">IF(OR(INDIRECT(C$26&amp;"!B"&amp;(ROW()-C$32+C$31))="",$C$1="M2"),"",1+ROW(B101)-C$32)</f>
        <v/>
      </c>
      <c r="C101" t="str" cm="1">
        <f t="array" aca="1" ref="C101" ca="1">IF(ROW()&gt;(C$33+C$32-C$31),"",GammaSelfNext(C$29,INDIRECT(C$26&amp;"!A"&amp;ROW()-C$32+C$31&amp;":F"&amp;ROW()-C$32+C$31),C100))</f>
        <v/>
      </c>
      <c r="D101" t="e">
        <f t="shared" ca="1" si="0"/>
        <v>#N/A</v>
      </c>
      <c r="E101" t="e">
        <f t="shared" ca="1" si="1"/>
        <v>#N/A</v>
      </c>
    </row>
    <row r="102" spans="1:5" x14ac:dyDescent="0.3">
      <c r="A102" t="str" cm="1">
        <f t="array" aca="1" ref="A102" ca="1">IF(OR(INDIRECT($C$26&amp;"!B"&amp;(ROW()-$C$32+$C$31))="",$C$1="M2"),"",1+ROW(A102)-$C$32)</f>
        <v/>
      </c>
      <c r="B102" t="str" cm="1">
        <f t="array" aca="1" ref="B102" ca="1">IF(OR(INDIRECT(C$26&amp;"!B"&amp;(ROW()-C$32+C$31))="",$C$1="M2"),"",1+ROW(B102)-C$32)</f>
        <v/>
      </c>
      <c r="C102" t="str" cm="1">
        <f t="array" aca="1" ref="C102" ca="1">IF(ROW()&gt;(C$33+C$32-C$31),"",GammaSelfNext(C$29,INDIRECT(C$26&amp;"!A"&amp;ROW()-C$32+C$31&amp;":F"&amp;ROW()-C$32+C$31),C101))</f>
        <v/>
      </c>
      <c r="D102" t="e">
        <f t="shared" ca="1" si="0"/>
        <v>#N/A</v>
      </c>
      <c r="E102" t="e">
        <f t="shared" ca="1" si="1"/>
        <v>#N/A</v>
      </c>
    </row>
    <row r="103" spans="1:5" x14ac:dyDescent="0.3">
      <c r="A103" t="str" cm="1">
        <f t="array" aca="1" ref="A103" ca="1">IF(OR(INDIRECT($C$26&amp;"!B"&amp;(ROW()-$C$32+$C$31))="",$C$1="M2"),"",1+ROW(A103)-$C$32)</f>
        <v/>
      </c>
      <c r="B103" t="str" cm="1">
        <f t="array" aca="1" ref="B103" ca="1">IF(OR(INDIRECT(C$26&amp;"!B"&amp;(ROW()-C$32+C$31))="",$C$1="M2"),"",1+ROW(B103)-C$32)</f>
        <v/>
      </c>
      <c r="C103" t="str" cm="1">
        <f t="array" aca="1" ref="C103" ca="1">IF(ROW()&gt;(C$33+C$32-C$31),"",GammaSelfNext(C$29,INDIRECT(C$26&amp;"!A"&amp;ROW()-C$32+C$31&amp;":F"&amp;ROW()-C$32+C$31),C102))</f>
        <v/>
      </c>
      <c r="D103" t="e">
        <f t="shared" ca="1" si="0"/>
        <v>#N/A</v>
      </c>
      <c r="E103" t="e">
        <f t="shared" ca="1" si="1"/>
        <v>#N/A</v>
      </c>
    </row>
    <row r="104" spans="1:5" x14ac:dyDescent="0.3">
      <c r="A104" t="str" cm="1">
        <f t="array" aca="1" ref="A104" ca="1">IF(OR(INDIRECT($C$26&amp;"!B"&amp;(ROW()-$C$32+$C$31))="",$C$1="M2"),"",1+ROW(A104)-$C$32)</f>
        <v/>
      </c>
      <c r="B104" t="str" cm="1">
        <f t="array" aca="1" ref="B104" ca="1">IF(OR(INDIRECT(C$26&amp;"!B"&amp;(ROW()-C$32+C$31))="",$C$1="M2"),"",1+ROW(B104)-C$32)</f>
        <v/>
      </c>
      <c r="C104" t="str" cm="1">
        <f t="array" aca="1" ref="C104" ca="1">IF(ROW()&gt;(C$33+C$32-C$31),"",GammaSelfNext(C$29,INDIRECT(C$26&amp;"!A"&amp;ROW()-C$32+C$31&amp;":F"&amp;ROW()-C$32+C$31),C103))</f>
        <v/>
      </c>
      <c r="D104" t="e">
        <f t="shared" ca="1" si="0"/>
        <v>#N/A</v>
      </c>
      <c r="E104" t="e">
        <f t="shared" ca="1" si="1"/>
        <v>#N/A</v>
      </c>
    </row>
    <row r="105" spans="1:5" x14ac:dyDescent="0.3">
      <c r="A105" t="str" cm="1">
        <f t="array" aca="1" ref="A105" ca="1">IF(OR(INDIRECT($C$26&amp;"!B"&amp;(ROW()-$C$32+$C$31))="",$C$1="M2"),"",1+ROW(A105)-$C$32)</f>
        <v/>
      </c>
      <c r="B105" t="str" cm="1">
        <f t="array" aca="1" ref="B105" ca="1">IF(OR(INDIRECT(C$26&amp;"!B"&amp;(ROW()-C$32+C$31))="",$C$1="M2"),"",1+ROW(B105)-C$32)</f>
        <v/>
      </c>
      <c r="C105" t="str" cm="1">
        <f t="array" aca="1" ref="C105" ca="1">IF(ROW()&gt;(C$33+C$32-C$31),"",GammaSelfNext(C$29,INDIRECT(C$26&amp;"!A"&amp;ROW()-C$32+C$31&amp;":F"&amp;ROW()-C$32+C$31),C104))</f>
        <v/>
      </c>
      <c r="D105" t="e">
        <f t="shared" ref="D105:D168" ca="1" si="6">IF(C105="",NA(),IMREAL(C105))</f>
        <v>#N/A</v>
      </c>
      <c r="E105" t="e">
        <f t="shared" ref="E105:E168" ca="1" si="7">IF(C105="",NA(),IMAGINARY(C105))</f>
        <v>#N/A</v>
      </c>
    </row>
    <row r="106" spans="1:5" x14ac:dyDescent="0.3">
      <c r="A106" t="str" cm="1">
        <f t="array" aca="1" ref="A106" ca="1">IF(OR(INDIRECT($C$26&amp;"!B"&amp;(ROW()-$C$32+$C$31))="",$C$1="M2"),"",1+ROW(A106)-$C$32)</f>
        <v/>
      </c>
      <c r="B106" t="str" cm="1">
        <f t="array" aca="1" ref="B106" ca="1">IF(OR(INDIRECT(C$26&amp;"!B"&amp;(ROW()-C$32+C$31))="",$C$1="M2"),"",1+ROW(B106)-C$32)</f>
        <v/>
      </c>
      <c r="C106" t="str" cm="1">
        <f t="array" aca="1" ref="C106" ca="1">IF(ROW()&gt;(C$33+C$32-C$31),"",GammaSelfNext(C$29,INDIRECT(C$26&amp;"!A"&amp;ROW()-C$32+C$31&amp;":F"&amp;ROW()-C$32+C$31),C105))</f>
        <v/>
      </c>
      <c r="D106" t="e">
        <f t="shared" ca="1" si="6"/>
        <v>#N/A</v>
      </c>
      <c r="E106" t="e">
        <f t="shared" ca="1" si="7"/>
        <v>#N/A</v>
      </c>
    </row>
    <row r="107" spans="1:5" x14ac:dyDescent="0.3">
      <c r="A107" t="str" cm="1">
        <f t="array" aca="1" ref="A107" ca="1">IF(OR(INDIRECT($C$26&amp;"!B"&amp;(ROW()-$C$32+$C$31))="",$C$1="M2"),"",1+ROW(A107)-$C$32)</f>
        <v/>
      </c>
      <c r="B107" t="str" cm="1">
        <f t="array" aca="1" ref="B107" ca="1">IF(OR(INDIRECT(C$26&amp;"!B"&amp;(ROW()-C$32+C$31))="",$C$1="M2"),"",1+ROW(B107)-C$32)</f>
        <v/>
      </c>
      <c r="C107" t="str" cm="1">
        <f t="array" aca="1" ref="C107" ca="1">IF(ROW()&gt;(C$33+C$32-C$31),"",GammaSelfNext(C$29,INDIRECT(C$26&amp;"!A"&amp;ROW()-C$32+C$31&amp;":F"&amp;ROW()-C$32+C$31),C106))</f>
        <v/>
      </c>
      <c r="D107" t="e">
        <f t="shared" ca="1" si="6"/>
        <v>#N/A</v>
      </c>
      <c r="E107" t="e">
        <f t="shared" ca="1" si="7"/>
        <v>#N/A</v>
      </c>
    </row>
    <row r="108" spans="1:5" x14ac:dyDescent="0.3">
      <c r="A108" t="str" cm="1">
        <f t="array" aca="1" ref="A108" ca="1">IF(OR(INDIRECT($C$26&amp;"!B"&amp;(ROW()-$C$32+$C$31))="",$C$1="M2"),"",1+ROW(A108)-$C$32)</f>
        <v/>
      </c>
      <c r="B108" t="str" cm="1">
        <f t="array" aca="1" ref="B108" ca="1">IF(OR(INDIRECT(C$26&amp;"!B"&amp;(ROW()-C$32+C$31))="",$C$1="M2"),"",1+ROW(B108)-C$32)</f>
        <v/>
      </c>
      <c r="C108" t="str" cm="1">
        <f t="array" aca="1" ref="C108" ca="1">IF(ROW()&gt;(C$33+C$32-C$31),"",GammaSelfNext(C$29,INDIRECT(C$26&amp;"!A"&amp;ROW()-C$32+C$31&amp;":F"&amp;ROW()-C$32+C$31),C107))</f>
        <v/>
      </c>
      <c r="D108" t="e">
        <f t="shared" ca="1" si="6"/>
        <v>#N/A</v>
      </c>
      <c r="E108" t="e">
        <f t="shared" ca="1" si="7"/>
        <v>#N/A</v>
      </c>
    </row>
    <row r="109" spans="1:5" x14ac:dyDescent="0.3">
      <c r="A109" t="str" cm="1">
        <f t="array" aca="1" ref="A109" ca="1">IF(OR(INDIRECT($C$26&amp;"!B"&amp;(ROW()-$C$32+$C$31))="",$C$1="M2"),"",1+ROW(A109)-$C$32)</f>
        <v/>
      </c>
      <c r="B109" t="str" cm="1">
        <f t="array" aca="1" ref="B109" ca="1">IF(OR(INDIRECT(C$26&amp;"!B"&amp;(ROW()-C$32+C$31))="",$C$1="M2"),"",1+ROW(B109)-C$32)</f>
        <v/>
      </c>
      <c r="C109" t="str" cm="1">
        <f t="array" aca="1" ref="C109" ca="1">IF(ROW()&gt;(C$33+C$32-C$31),"",GammaSelfNext(C$29,INDIRECT(C$26&amp;"!A"&amp;ROW()-C$32+C$31&amp;":F"&amp;ROW()-C$32+C$31),C108))</f>
        <v/>
      </c>
      <c r="D109" t="e">
        <f t="shared" ca="1" si="6"/>
        <v>#N/A</v>
      </c>
      <c r="E109" t="e">
        <f t="shared" ca="1" si="7"/>
        <v>#N/A</v>
      </c>
    </row>
    <row r="110" spans="1:5" x14ac:dyDescent="0.3">
      <c r="A110" t="str" cm="1">
        <f t="array" aca="1" ref="A110" ca="1">IF(OR(INDIRECT($C$26&amp;"!B"&amp;(ROW()-$C$32+$C$31))="",$C$1="M2"),"",1+ROW(A110)-$C$32)</f>
        <v/>
      </c>
      <c r="B110" t="str" cm="1">
        <f t="array" aca="1" ref="B110" ca="1">IF(OR(INDIRECT(C$26&amp;"!B"&amp;(ROW()-C$32+C$31))="",$C$1="M2"),"",1+ROW(B110)-C$32)</f>
        <v/>
      </c>
      <c r="C110" t="str" cm="1">
        <f t="array" aca="1" ref="C110" ca="1">IF(ROW()&gt;(C$33+C$32-C$31),"",GammaSelfNext(C$29,INDIRECT(C$26&amp;"!A"&amp;ROW()-C$32+C$31&amp;":F"&amp;ROW()-C$32+C$31),C109))</f>
        <v/>
      </c>
      <c r="D110" t="e">
        <f t="shared" ca="1" si="6"/>
        <v>#N/A</v>
      </c>
      <c r="E110" t="e">
        <f t="shared" ca="1" si="7"/>
        <v>#N/A</v>
      </c>
    </row>
    <row r="111" spans="1:5" x14ac:dyDescent="0.3">
      <c r="A111" t="str" cm="1">
        <f t="array" aca="1" ref="A111" ca="1">IF(OR(INDIRECT($C$26&amp;"!B"&amp;(ROW()-$C$32+$C$31))="",$C$1="M2"),"",1+ROW(A111)-$C$32)</f>
        <v/>
      </c>
      <c r="B111" t="str" cm="1">
        <f t="array" aca="1" ref="B111" ca="1">IF(OR(INDIRECT(C$26&amp;"!B"&amp;(ROW()-C$32+C$31))="",$C$1="M2"),"",1+ROW(B111)-C$32)</f>
        <v/>
      </c>
      <c r="C111" t="str" cm="1">
        <f t="array" aca="1" ref="C111" ca="1">IF(ROW()&gt;(C$33+C$32-C$31),"",GammaSelfNext(C$29,INDIRECT(C$26&amp;"!A"&amp;ROW()-C$32+C$31&amp;":F"&amp;ROW()-C$32+C$31),C110))</f>
        <v/>
      </c>
      <c r="D111" t="e">
        <f t="shared" ca="1" si="6"/>
        <v>#N/A</v>
      </c>
      <c r="E111" t="e">
        <f t="shared" ca="1" si="7"/>
        <v>#N/A</v>
      </c>
    </row>
    <row r="112" spans="1:5" x14ac:dyDescent="0.3">
      <c r="A112" t="str" cm="1">
        <f t="array" aca="1" ref="A112" ca="1">IF(OR(INDIRECT($C$26&amp;"!B"&amp;(ROW()-$C$32+$C$31))="",$C$1="M2"),"",1+ROW(A112)-$C$32)</f>
        <v/>
      </c>
      <c r="B112" t="str" cm="1">
        <f t="array" aca="1" ref="B112" ca="1">IF(OR(INDIRECT(C$26&amp;"!B"&amp;(ROW()-C$32+C$31))="",$C$1="M2"),"",1+ROW(B112)-C$32)</f>
        <v/>
      </c>
      <c r="C112" t="str" cm="1">
        <f t="array" aca="1" ref="C112" ca="1">IF(ROW()&gt;(C$33+C$32-C$31),"",GammaSelfNext(C$29,INDIRECT(C$26&amp;"!A"&amp;ROW()-C$32+C$31&amp;":F"&amp;ROW()-C$32+C$31),C111))</f>
        <v/>
      </c>
      <c r="D112" t="e">
        <f t="shared" ca="1" si="6"/>
        <v>#N/A</v>
      </c>
      <c r="E112" t="e">
        <f t="shared" ca="1" si="7"/>
        <v>#N/A</v>
      </c>
    </row>
    <row r="113" spans="1:5" x14ac:dyDescent="0.3">
      <c r="A113" t="str" cm="1">
        <f t="array" aca="1" ref="A113" ca="1">IF(OR(INDIRECT($C$26&amp;"!B"&amp;(ROW()-$C$32+$C$31))="",$C$1="M2"),"",1+ROW(A113)-$C$32)</f>
        <v/>
      </c>
      <c r="B113" t="str" cm="1">
        <f t="array" aca="1" ref="B113" ca="1">IF(OR(INDIRECT(C$26&amp;"!B"&amp;(ROW()-C$32+C$31))="",$C$1="M2"),"",1+ROW(B113)-C$32)</f>
        <v/>
      </c>
      <c r="C113" t="str" cm="1">
        <f t="array" aca="1" ref="C113" ca="1">IF(ROW()&gt;(C$33+C$32-C$31),"",GammaSelfNext(C$29,INDIRECT(C$26&amp;"!A"&amp;ROW()-C$32+C$31&amp;":F"&amp;ROW()-C$32+C$31),C112))</f>
        <v/>
      </c>
      <c r="D113" t="e">
        <f t="shared" ca="1" si="6"/>
        <v>#N/A</v>
      </c>
      <c r="E113" t="e">
        <f t="shared" ca="1" si="7"/>
        <v>#N/A</v>
      </c>
    </row>
    <row r="114" spans="1:5" x14ac:dyDescent="0.3">
      <c r="A114" t="str" cm="1">
        <f t="array" aca="1" ref="A114" ca="1">IF(OR(INDIRECT($C$26&amp;"!B"&amp;(ROW()-$C$32+$C$31))="",$C$1="M2"),"",1+ROW(A114)-$C$32)</f>
        <v/>
      </c>
      <c r="B114" t="str" cm="1">
        <f t="array" aca="1" ref="B114" ca="1">IF(OR(INDIRECT(C$26&amp;"!B"&amp;(ROW()-C$32+C$31))="",$C$1="M2"),"",1+ROW(B114)-C$32)</f>
        <v/>
      </c>
      <c r="C114" t="str" cm="1">
        <f t="array" aca="1" ref="C114" ca="1">IF(ROW()&gt;(C$33+C$32-C$31),"",GammaSelfNext(C$29,INDIRECT(C$26&amp;"!A"&amp;ROW()-C$32+C$31&amp;":F"&amp;ROW()-C$32+C$31),C113))</f>
        <v/>
      </c>
      <c r="D114" t="e">
        <f t="shared" ca="1" si="6"/>
        <v>#N/A</v>
      </c>
      <c r="E114" t="e">
        <f t="shared" ca="1" si="7"/>
        <v>#N/A</v>
      </c>
    </row>
    <row r="115" spans="1:5" x14ac:dyDescent="0.3">
      <c r="A115" t="str" cm="1">
        <f t="array" aca="1" ref="A115" ca="1">IF(OR(INDIRECT($C$26&amp;"!B"&amp;(ROW()-$C$32+$C$31))="",$C$1="M2"),"",1+ROW(A115)-$C$32)</f>
        <v/>
      </c>
      <c r="B115" t="str" cm="1">
        <f t="array" aca="1" ref="B115" ca="1">IF(OR(INDIRECT(C$26&amp;"!B"&amp;(ROW()-C$32+C$31))="",$C$1="M2"),"",1+ROW(B115)-C$32)</f>
        <v/>
      </c>
      <c r="C115" t="str" cm="1">
        <f t="array" aca="1" ref="C115" ca="1">IF(ROW()&gt;(C$33+C$32-C$31),"",GammaSelfNext(C$29,INDIRECT(C$26&amp;"!A"&amp;ROW()-C$32+C$31&amp;":F"&amp;ROW()-C$32+C$31),C114))</f>
        <v/>
      </c>
      <c r="D115" t="e">
        <f t="shared" ca="1" si="6"/>
        <v>#N/A</v>
      </c>
      <c r="E115" t="e">
        <f t="shared" ca="1" si="7"/>
        <v>#N/A</v>
      </c>
    </row>
    <row r="116" spans="1:5" x14ac:dyDescent="0.3">
      <c r="A116" t="str" cm="1">
        <f t="array" aca="1" ref="A116" ca="1">IF(OR(INDIRECT($C$26&amp;"!B"&amp;(ROW()-$C$32+$C$31))="",$C$1="M2"),"",1+ROW(A116)-$C$32)</f>
        <v/>
      </c>
      <c r="B116" t="str" cm="1">
        <f t="array" aca="1" ref="B116" ca="1">IF(OR(INDIRECT(C$26&amp;"!B"&amp;(ROW()-C$32+C$31))="",$C$1="M2"),"",1+ROW(B116)-C$32)</f>
        <v/>
      </c>
      <c r="C116" t="str" cm="1">
        <f t="array" aca="1" ref="C116" ca="1">IF(ROW()&gt;(C$33+C$32-C$31),"",GammaSelfNext(C$29,INDIRECT(C$26&amp;"!A"&amp;ROW()-C$32+C$31&amp;":F"&amp;ROW()-C$32+C$31),C115))</f>
        <v/>
      </c>
      <c r="D116" t="e">
        <f t="shared" ca="1" si="6"/>
        <v>#N/A</v>
      </c>
      <c r="E116" t="e">
        <f t="shared" ca="1" si="7"/>
        <v>#N/A</v>
      </c>
    </row>
    <row r="117" spans="1:5" x14ac:dyDescent="0.3">
      <c r="A117" t="str" cm="1">
        <f t="array" aca="1" ref="A117" ca="1">IF(OR(INDIRECT($C$26&amp;"!B"&amp;(ROW()-$C$32+$C$31))="",$C$1="M2"),"",1+ROW(A117)-$C$32)</f>
        <v/>
      </c>
      <c r="B117" t="str" cm="1">
        <f t="array" aca="1" ref="B117" ca="1">IF(OR(INDIRECT(C$26&amp;"!B"&amp;(ROW()-C$32+C$31))="",$C$1="M2"),"",1+ROW(B117)-C$32)</f>
        <v/>
      </c>
      <c r="C117" t="str" cm="1">
        <f t="array" aca="1" ref="C117" ca="1">IF(ROW()&gt;(C$33+C$32-C$31),"",GammaSelfNext(C$29,INDIRECT(C$26&amp;"!A"&amp;ROW()-C$32+C$31&amp;":F"&amp;ROW()-C$32+C$31),C116))</f>
        <v/>
      </c>
      <c r="D117" t="e">
        <f t="shared" ca="1" si="6"/>
        <v>#N/A</v>
      </c>
      <c r="E117" t="e">
        <f t="shared" ca="1" si="7"/>
        <v>#N/A</v>
      </c>
    </row>
    <row r="118" spans="1:5" x14ac:dyDescent="0.3">
      <c r="A118" t="str" cm="1">
        <f t="array" aca="1" ref="A118" ca="1">IF(OR(INDIRECT($C$26&amp;"!B"&amp;(ROW()-$C$32+$C$31))="",$C$1="M2"),"",1+ROW(A118)-$C$32)</f>
        <v/>
      </c>
      <c r="B118" t="str" cm="1">
        <f t="array" aca="1" ref="B118" ca="1">IF(OR(INDIRECT(C$26&amp;"!B"&amp;(ROW()-C$32+C$31))="",$C$1="M2"),"",1+ROW(B118)-C$32)</f>
        <v/>
      </c>
      <c r="C118" t="str" cm="1">
        <f t="array" aca="1" ref="C118" ca="1">IF(ROW()&gt;(C$33+C$32-C$31),"",GammaSelfNext(C$29,INDIRECT(C$26&amp;"!A"&amp;ROW()-C$32+C$31&amp;":F"&amp;ROW()-C$32+C$31),C117))</f>
        <v/>
      </c>
      <c r="D118" t="e">
        <f t="shared" ca="1" si="6"/>
        <v>#N/A</v>
      </c>
      <c r="E118" t="e">
        <f t="shared" ca="1" si="7"/>
        <v>#N/A</v>
      </c>
    </row>
    <row r="119" spans="1:5" x14ac:dyDescent="0.3">
      <c r="A119" t="str" cm="1">
        <f t="array" aca="1" ref="A119" ca="1">IF(OR(INDIRECT($C$26&amp;"!B"&amp;(ROW()-$C$32+$C$31))="",$C$1="M2"),"",1+ROW(A119)-$C$32)</f>
        <v/>
      </c>
      <c r="B119" t="str" cm="1">
        <f t="array" aca="1" ref="B119" ca="1">IF(OR(INDIRECT(C$26&amp;"!B"&amp;(ROW()-C$32+C$31))="",$C$1="M2"),"",1+ROW(B119)-C$32)</f>
        <v/>
      </c>
      <c r="C119" t="str" cm="1">
        <f t="array" aca="1" ref="C119" ca="1">IF(ROW()&gt;(C$33+C$32-C$31),"",GammaSelfNext(C$29,INDIRECT(C$26&amp;"!A"&amp;ROW()-C$32+C$31&amp;":F"&amp;ROW()-C$32+C$31),C118))</f>
        <v/>
      </c>
      <c r="D119" t="e">
        <f t="shared" ca="1" si="6"/>
        <v>#N/A</v>
      </c>
      <c r="E119" t="e">
        <f t="shared" ca="1" si="7"/>
        <v>#N/A</v>
      </c>
    </row>
    <row r="120" spans="1:5" x14ac:dyDescent="0.3">
      <c r="A120" t="str" cm="1">
        <f t="array" aca="1" ref="A120" ca="1">IF(OR(INDIRECT($C$26&amp;"!B"&amp;(ROW()-$C$32+$C$31))="",$C$1="M2"),"",1+ROW(A120)-$C$32)</f>
        <v/>
      </c>
      <c r="B120" t="str" cm="1">
        <f t="array" aca="1" ref="B120" ca="1">IF(OR(INDIRECT(C$26&amp;"!B"&amp;(ROW()-C$32+C$31))="",$C$1="M2"),"",1+ROW(B120)-C$32)</f>
        <v/>
      </c>
      <c r="C120" t="str" cm="1">
        <f t="array" aca="1" ref="C120" ca="1">IF(ROW()&gt;(C$33+C$32-C$31),"",GammaSelfNext(C$29,INDIRECT(C$26&amp;"!A"&amp;ROW()-C$32+C$31&amp;":F"&amp;ROW()-C$32+C$31),C119))</f>
        <v/>
      </c>
      <c r="D120" t="e">
        <f t="shared" ca="1" si="6"/>
        <v>#N/A</v>
      </c>
      <c r="E120" t="e">
        <f t="shared" ca="1" si="7"/>
        <v>#N/A</v>
      </c>
    </row>
    <row r="121" spans="1:5" x14ac:dyDescent="0.3">
      <c r="A121" t="str" cm="1">
        <f t="array" aca="1" ref="A121" ca="1">IF(OR(INDIRECT($C$26&amp;"!B"&amp;(ROW()-$C$32+$C$31))="",$C$1="M2"),"",1+ROW(A121)-$C$32)</f>
        <v/>
      </c>
      <c r="B121" t="str" cm="1">
        <f t="array" aca="1" ref="B121" ca="1">IF(OR(INDIRECT(C$26&amp;"!B"&amp;(ROW()-C$32+C$31))="",$C$1="M2"),"",1+ROW(B121)-C$32)</f>
        <v/>
      </c>
      <c r="C121" t="str" cm="1">
        <f t="array" aca="1" ref="C121" ca="1">IF(ROW()&gt;(C$33+C$32-C$31),"",GammaSelfNext(C$29,INDIRECT(C$26&amp;"!A"&amp;ROW()-C$32+C$31&amp;":F"&amp;ROW()-C$32+C$31),C120))</f>
        <v/>
      </c>
      <c r="D121" t="e">
        <f t="shared" ca="1" si="6"/>
        <v>#N/A</v>
      </c>
      <c r="E121" t="e">
        <f t="shared" ca="1" si="7"/>
        <v>#N/A</v>
      </c>
    </row>
    <row r="122" spans="1:5" x14ac:dyDescent="0.3">
      <c r="A122" t="str" cm="1">
        <f t="array" aca="1" ref="A122" ca="1">IF(OR(INDIRECT($C$26&amp;"!B"&amp;(ROW()-$C$32+$C$31))="",$C$1="M2"),"",1+ROW(A122)-$C$32)</f>
        <v/>
      </c>
      <c r="B122" t="str" cm="1">
        <f t="array" aca="1" ref="B122" ca="1">IF(OR(INDIRECT(C$26&amp;"!B"&amp;(ROW()-C$32+C$31))="",$C$1="M2"),"",1+ROW(B122)-C$32)</f>
        <v/>
      </c>
      <c r="C122" t="str" cm="1">
        <f t="array" aca="1" ref="C122" ca="1">IF(ROW()&gt;(C$33+C$32-C$31),"",GammaSelfNext(C$29,INDIRECT(C$26&amp;"!A"&amp;ROW()-C$32+C$31&amp;":F"&amp;ROW()-C$32+C$31),C121))</f>
        <v/>
      </c>
      <c r="D122" t="e">
        <f t="shared" ca="1" si="6"/>
        <v>#N/A</v>
      </c>
      <c r="E122" t="e">
        <f t="shared" ca="1" si="7"/>
        <v>#N/A</v>
      </c>
    </row>
    <row r="123" spans="1:5" x14ac:dyDescent="0.3">
      <c r="A123" t="str" cm="1">
        <f t="array" aca="1" ref="A123" ca="1">IF(OR(INDIRECT($C$26&amp;"!B"&amp;(ROW()-$C$32+$C$31))="",$C$1="M2"),"",1+ROW(A123)-$C$32)</f>
        <v/>
      </c>
      <c r="B123" t="str" cm="1">
        <f t="array" aca="1" ref="B123" ca="1">IF(OR(INDIRECT(C$26&amp;"!B"&amp;(ROW()-C$32+C$31))="",$C$1="M2"),"",1+ROW(B123)-C$32)</f>
        <v/>
      </c>
      <c r="C123" t="str" cm="1">
        <f t="array" aca="1" ref="C123" ca="1">IF(ROW()&gt;(C$33+C$32-C$31),"",GammaSelfNext(C$29,INDIRECT(C$26&amp;"!A"&amp;ROW()-C$32+C$31&amp;":F"&amp;ROW()-C$32+C$31),C122))</f>
        <v/>
      </c>
      <c r="D123" t="e">
        <f t="shared" ca="1" si="6"/>
        <v>#N/A</v>
      </c>
      <c r="E123" t="e">
        <f t="shared" ca="1" si="7"/>
        <v>#N/A</v>
      </c>
    </row>
    <row r="124" spans="1:5" x14ac:dyDescent="0.3">
      <c r="A124" t="str" cm="1">
        <f t="array" aca="1" ref="A124" ca="1">IF(OR(INDIRECT($C$26&amp;"!B"&amp;(ROW()-$C$32+$C$31))="",$C$1="M2"),"",1+ROW(A124)-$C$32)</f>
        <v/>
      </c>
      <c r="B124" t="str" cm="1">
        <f t="array" aca="1" ref="B124" ca="1">IF(OR(INDIRECT(C$26&amp;"!B"&amp;(ROW()-C$32+C$31))="",$C$1="M2"),"",1+ROW(B124)-C$32)</f>
        <v/>
      </c>
      <c r="C124" t="str" cm="1">
        <f t="array" aca="1" ref="C124" ca="1">IF(ROW()&gt;(C$33+C$32-C$31),"",GammaSelfNext(C$29,INDIRECT(C$26&amp;"!A"&amp;ROW()-C$32+C$31&amp;":F"&amp;ROW()-C$32+C$31),C123))</f>
        <v/>
      </c>
      <c r="D124" t="e">
        <f t="shared" ca="1" si="6"/>
        <v>#N/A</v>
      </c>
      <c r="E124" t="e">
        <f t="shared" ca="1" si="7"/>
        <v>#N/A</v>
      </c>
    </row>
    <row r="125" spans="1:5" x14ac:dyDescent="0.3">
      <c r="A125" t="str" cm="1">
        <f t="array" aca="1" ref="A125" ca="1">IF(OR(INDIRECT($C$26&amp;"!B"&amp;(ROW()-$C$32+$C$31))="",$C$1="M2"),"",1+ROW(A125)-$C$32)</f>
        <v/>
      </c>
      <c r="B125" t="str" cm="1">
        <f t="array" aca="1" ref="B125" ca="1">IF(OR(INDIRECT(C$26&amp;"!B"&amp;(ROW()-C$32+C$31))="",$C$1="M2"),"",1+ROW(B125)-C$32)</f>
        <v/>
      </c>
      <c r="C125" t="str" cm="1">
        <f t="array" aca="1" ref="C125" ca="1">IF(ROW()&gt;(C$33+C$32-C$31),"",GammaSelfNext(C$29,INDIRECT(C$26&amp;"!A"&amp;ROW()-C$32+C$31&amp;":F"&amp;ROW()-C$32+C$31),C124))</f>
        <v/>
      </c>
      <c r="D125" t="e">
        <f t="shared" ca="1" si="6"/>
        <v>#N/A</v>
      </c>
      <c r="E125" t="e">
        <f t="shared" ca="1" si="7"/>
        <v>#N/A</v>
      </c>
    </row>
    <row r="126" spans="1:5" x14ac:dyDescent="0.3">
      <c r="A126" t="str" cm="1">
        <f t="array" aca="1" ref="A126" ca="1">IF(OR(INDIRECT($C$26&amp;"!B"&amp;(ROW()-$C$32+$C$31))="",$C$1="M2"),"",1+ROW(A126)-$C$32)</f>
        <v/>
      </c>
      <c r="B126" t="str" cm="1">
        <f t="array" aca="1" ref="B126" ca="1">IF(OR(INDIRECT(C$26&amp;"!B"&amp;(ROW()-C$32+C$31))="",$C$1="M2"),"",1+ROW(B126)-C$32)</f>
        <v/>
      </c>
      <c r="C126" t="str" cm="1">
        <f t="array" aca="1" ref="C126" ca="1">IF(ROW()&gt;(C$33+C$32-C$31),"",GammaSelfNext(C$29,INDIRECT(C$26&amp;"!A"&amp;ROW()-C$32+C$31&amp;":F"&amp;ROW()-C$32+C$31),C125))</f>
        <v/>
      </c>
      <c r="D126" t="e">
        <f t="shared" ca="1" si="6"/>
        <v>#N/A</v>
      </c>
      <c r="E126" t="e">
        <f t="shared" ca="1" si="7"/>
        <v>#N/A</v>
      </c>
    </row>
    <row r="127" spans="1:5" x14ac:dyDescent="0.3">
      <c r="A127" t="str" cm="1">
        <f t="array" aca="1" ref="A127" ca="1">IF(OR(INDIRECT($C$26&amp;"!B"&amp;(ROW()-$C$32+$C$31))="",$C$1="M2"),"",1+ROW(A127)-$C$32)</f>
        <v/>
      </c>
      <c r="B127" t="str" cm="1">
        <f t="array" aca="1" ref="B127" ca="1">IF(OR(INDIRECT(C$26&amp;"!B"&amp;(ROW()-C$32+C$31))="",$C$1="M2"),"",1+ROW(B127)-C$32)</f>
        <v/>
      </c>
      <c r="C127" t="str" cm="1">
        <f t="array" aca="1" ref="C127" ca="1">IF(ROW()&gt;(C$33+C$32-C$31),"",GammaSelfNext(C$29,INDIRECT(C$26&amp;"!A"&amp;ROW()-C$32+C$31&amp;":F"&amp;ROW()-C$32+C$31),C126))</f>
        <v/>
      </c>
      <c r="D127" t="e">
        <f t="shared" ca="1" si="6"/>
        <v>#N/A</v>
      </c>
      <c r="E127" t="e">
        <f t="shared" ca="1" si="7"/>
        <v>#N/A</v>
      </c>
    </row>
    <row r="128" spans="1:5" x14ac:dyDescent="0.3">
      <c r="A128" t="str" cm="1">
        <f t="array" aca="1" ref="A128" ca="1">IF(OR(INDIRECT($C$26&amp;"!B"&amp;(ROW()-$C$32+$C$31))="",$C$1="M2"),"",1+ROW(A128)-$C$32)</f>
        <v/>
      </c>
      <c r="B128" t="str" cm="1">
        <f t="array" aca="1" ref="B128" ca="1">IF(OR(INDIRECT(C$26&amp;"!B"&amp;(ROW()-C$32+C$31))="",$C$1="M2"),"",1+ROW(B128)-C$32)</f>
        <v/>
      </c>
      <c r="C128" t="str" cm="1">
        <f t="array" aca="1" ref="C128" ca="1">IF(ROW()&gt;(C$33+C$32-C$31),"",GammaSelfNext(C$29,INDIRECT(C$26&amp;"!A"&amp;ROW()-C$32+C$31&amp;":F"&amp;ROW()-C$32+C$31),C127))</f>
        <v/>
      </c>
      <c r="D128" t="e">
        <f t="shared" ca="1" si="6"/>
        <v>#N/A</v>
      </c>
      <c r="E128" t="e">
        <f t="shared" ca="1" si="7"/>
        <v>#N/A</v>
      </c>
    </row>
    <row r="129" spans="1:5" x14ac:dyDescent="0.3">
      <c r="A129" t="str" cm="1">
        <f t="array" aca="1" ref="A129" ca="1">IF(OR(INDIRECT($C$26&amp;"!B"&amp;(ROW()-$C$32+$C$31))="",$C$1="M2"),"",1+ROW(A129)-$C$32)</f>
        <v/>
      </c>
      <c r="B129" t="str" cm="1">
        <f t="array" aca="1" ref="B129" ca="1">IF(OR(INDIRECT(C$26&amp;"!B"&amp;(ROW()-C$32+C$31))="",$C$1="M2"),"",1+ROW(B129)-C$32)</f>
        <v/>
      </c>
      <c r="C129" t="str" cm="1">
        <f t="array" aca="1" ref="C129" ca="1">IF(ROW()&gt;(C$33+C$32-C$31),"",GammaSelfNext(C$29,INDIRECT(C$26&amp;"!A"&amp;ROW()-C$32+C$31&amp;":F"&amp;ROW()-C$32+C$31),C128))</f>
        <v/>
      </c>
      <c r="D129" t="e">
        <f t="shared" ca="1" si="6"/>
        <v>#N/A</v>
      </c>
      <c r="E129" t="e">
        <f t="shared" ca="1" si="7"/>
        <v>#N/A</v>
      </c>
    </row>
    <row r="130" spans="1:5" x14ac:dyDescent="0.3">
      <c r="A130" t="str" cm="1">
        <f t="array" aca="1" ref="A130" ca="1">IF(OR(INDIRECT($C$26&amp;"!B"&amp;(ROW()-$C$32+$C$31))="",$C$1="M2"),"",1+ROW(A130)-$C$32)</f>
        <v/>
      </c>
      <c r="B130" t="str" cm="1">
        <f t="array" aca="1" ref="B130" ca="1">IF(OR(INDIRECT(C$26&amp;"!B"&amp;(ROW()-C$32+C$31))="",$C$1="M2"),"",1+ROW(B130)-C$32)</f>
        <v/>
      </c>
      <c r="C130" t="str" cm="1">
        <f t="array" aca="1" ref="C130" ca="1">IF(ROW()&gt;(C$33+C$32-C$31),"",GammaSelfNext(C$29,INDIRECT(C$26&amp;"!A"&amp;ROW()-C$32+C$31&amp;":F"&amp;ROW()-C$32+C$31),C129))</f>
        <v/>
      </c>
      <c r="D130" t="e">
        <f t="shared" ca="1" si="6"/>
        <v>#N/A</v>
      </c>
      <c r="E130" t="e">
        <f t="shared" ca="1" si="7"/>
        <v>#N/A</v>
      </c>
    </row>
    <row r="131" spans="1:5" x14ac:dyDescent="0.3">
      <c r="A131" t="str" cm="1">
        <f t="array" aca="1" ref="A131" ca="1">IF(OR(INDIRECT($C$26&amp;"!B"&amp;(ROW()-$C$32+$C$31))="",$C$1="M2"),"",1+ROW(A131)-$C$32)</f>
        <v/>
      </c>
      <c r="B131" t="str" cm="1">
        <f t="array" aca="1" ref="B131" ca="1">IF(OR(INDIRECT(C$26&amp;"!B"&amp;(ROW()-C$32+C$31))="",$C$1="M2"),"",1+ROW(B131)-C$32)</f>
        <v/>
      </c>
      <c r="C131" t="str" cm="1">
        <f t="array" aca="1" ref="C131" ca="1">IF(ROW()&gt;(C$33+C$32-C$31),"",GammaSelfNext(C$29,INDIRECT(C$26&amp;"!A"&amp;ROW()-C$32+C$31&amp;":F"&amp;ROW()-C$32+C$31),C130))</f>
        <v/>
      </c>
      <c r="D131" t="e">
        <f t="shared" ca="1" si="6"/>
        <v>#N/A</v>
      </c>
      <c r="E131" t="e">
        <f t="shared" ca="1" si="7"/>
        <v>#N/A</v>
      </c>
    </row>
    <row r="132" spans="1:5" x14ac:dyDescent="0.3">
      <c r="A132" t="str" cm="1">
        <f t="array" aca="1" ref="A132" ca="1">IF(OR(INDIRECT($C$26&amp;"!B"&amp;(ROW()-$C$32+$C$31))="",$C$1="M2"),"",1+ROW(A132)-$C$32)</f>
        <v/>
      </c>
      <c r="B132" t="str" cm="1">
        <f t="array" aca="1" ref="B132" ca="1">IF(OR(INDIRECT(C$26&amp;"!B"&amp;(ROW()-C$32+C$31))="",$C$1="M2"),"",1+ROW(B132)-C$32)</f>
        <v/>
      </c>
      <c r="C132" t="str" cm="1">
        <f t="array" aca="1" ref="C132" ca="1">IF(ROW()&gt;(C$33+C$32-C$31),"",GammaSelfNext(C$29,INDIRECT(C$26&amp;"!A"&amp;ROW()-C$32+C$31&amp;":F"&amp;ROW()-C$32+C$31),C131))</f>
        <v/>
      </c>
      <c r="D132" t="e">
        <f t="shared" ca="1" si="6"/>
        <v>#N/A</v>
      </c>
      <c r="E132" t="e">
        <f t="shared" ca="1" si="7"/>
        <v>#N/A</v>
      </c>
    </row>
    <row r="133" spans="1:5" x14ac:dyDescent="0.3">
      <c r="A133" t="str" cm="1">
        <f t="array" aca="1" ref="A133" ca="1">IF(OR(INDIRECT($C$26&amp;"!B"&amp;(ROW()-$C$32+$C$31))="",$C$1="M2"),"",1+ROW(A133)-$C$32)</f>
        <v/>
      </c>
      <c r="B133" t="str" cm="1">
        <f t="array" aca="1" ref="B133" ca="1">IF(OR(INDIRECT(C$26&amp;"!B"&amp;(ROW()-C$32+C$31))="",$C$1="M2"),"",1+ROW(B133)-C$32)</f>
        <v/>
      </c>
      <c r="C133" t="str" cm="1">
        <f t="array" aca="1" ref="C133" ca="1">IF(ROW()&gt;(C$33+C$32-C$31),"",GammaSelfNext(C$29,INDIRECT(C$26&amp;"!A"&amp;ROW()-C$32+C$31&amp;":F"&amp;ROW()-C$32+C$31),C132))</f>
        <v/>
      </c>
      <c r="D133" t="e">
        <f t="shared" ca="1" si="6"/>
        <v>#N/A</v>
      </c>
      <c r="E133" t="e">
        <f t="shared" ca="1" si="7"/>
        <v>#N/A</v>
      </c>
    </row>
    <row r="134" spans="1:5" x14ac:dyDescent="0.3">
      <c r="A134" t="str" cm="1">
        <f t="array" aca="1" ref="A134" ca="1">IF(OR(INDIRECT($C$26&amp;"!B"&amp;(ROW()-$C$32+$C$31))="",$C$1="M2"),"",1+ROW(A134)-$C$32)</f>
        <v/>
      </c>
      <c r="B134" t="str" cm="1">
        <f t="array" aca="1" ref="B134" ca="1">IF(OR(INDIRECT(C$26&amp;"!B"&amp;(ROW()-C$32+C$31))="",$C$1="M2"),"",1+ROW(B134)-C$32)</f>
        <v/>
      </c>
      <c r="C134" t="str" cm="1">
        <f t="array" aca="1" ref="C134" ca="1">IF(ROW()&gt;(C$33+C$32-C$31),"",GammaSelfNext(C$29,INDIRECT(C$26&amp;"!A"&amp;ROW()-C$32+C$31&amp;":F"&amp;ROW()-C$32+C$31),C133))</f>
        <v/>
      </c>
      <c r="D134" t="e">
        <f t="shared" ca="1" si="6"/>
        <v>#N/A</v>
      </c>
      <c r="E134" t="e">
        <f t="shared" ca="1" si="7"/>
        <v>#N/A</v>
      </c>
    </row>
    <row r="135" spans="1:5" x14ac:dyDescent="0.3">
      <c r="A135" t="str" cm="1">
        <f t="array" aca="1" ref="A135" ca="1">IF(OR(INDIRECT($C$26&amp;"!B"&amp;(ROW()-$C$32+$C$31))="",$C$1="M2"),"",1+ROW(A135)-$C$32)</f>
        <v/>
      </c>
      <c r="B135" t="str" cm="1">
        <f t="array" aca="1" ref="B135" ca="1">IF(OR(INDIRECT(C$26&amp;"!B"&amp;(ROW()-C$32+C$31))="",$C$1="M2"),"",1+ROW(B135)-C$32)</f>
        <v/>
      </c>
      <c r="C135" t="str" cm="1">
        <f t="array" aca="1" ref="C135" ca="1">IF(ROW()&gt;(C$33+C$32-C$31),"",GammaSelfNext(C$29,INDIRECT(C$26&amp;"!A"&amp;ROW()-C$32+C$31&amp;":F"&amp;ROW()-C$32+C$31),C134))</f>
        <v/>
      </c>
      <c r="D135" t="e">
        <f t="shared" ca="1" si="6"/>
        <v>#N/A</v>
      </c>
      <c r="E135" t="e">
        <f t="shared" ca="1" si="7"/>
        <v>#N/A</v>
      </c>
    </row>
    <row r="136" spans="1:5" x14ac:dyDescent="0.3">
      <c r="A136" t="str" cm="1">
        <f t="array" aca="1" ref="A136" ca="1">IF(OR(INDIRECT($C$26&amp;"!B"&amp;(ROW()-$C$32+$C$31))="",$C$1="M2"),"",1+ROW(A136)-$C$32)</f>
        <v/>
      </c>
      <c r="B136" t="str" cm="1">
        <f t="array" aca="1" ref="B136" ca="1">IF(OR(INDIRECT(C$26&amp;"!B"&amp;(ROW()-C$32+C$31))="",$C$1="M2"),"",1+ROW(B136)-C$32)</f>
        <v/>
      </c>
      <c r="C136" t="str" cm="1">
        <f t="array" aca="1" ref="C136" ca="1">IF(ROW()&gt;(C$33+C$32-C$31),"",GammaSelfNext(C$29,INDIRECT(C$26&amp;"!A"&amp;ROW()-C$32+C$31&amp;":F"&amp;ROW()-C$32+C$31),C135))</f>
        <v/>
      </c>
      <c r="D136" t="e">
        <f t="shared" ca="1" si="6"/>
        <v>#N/A</v>
      </c>
      <c r="E136" t="e">
        <f t="shared" ca="1" si="7"/>
        <v>#N/A</v>
      </c>
    </row>
    <row r="137" spans="1:5" x14ac:dyDescent="0.3">
      <c r="A137" t="str" cm="1">
        <f t="array" aca="1" ref="A137" ca="1">IF(OR(INDIRECT($C$26&amp;"!B"&amp;(ROW()-$C$32+$C$31))="",$C$1="M2"),"",1+ROW(A137)-$C$32)</f>
        <v/>
      </c>
      <c r="B137" t="str" cm="1">
        <f t="array" aca="1" ref="B137" ca="1">IF(OR(INDIRECT(C$26&amp;"!B"&amp;(ROW()-C$32+C$31))="",$C$1="M2"),"",1+ROW(B137)-C$32)</f>
        <v/>
      </c>
      <c r="C137" t="str" cm="1">
        <f t="array" aca="1" ref="C137" ca="1">IF(ROW()&gt;(C$33+C$32-C$31),"",GammaSelfNext(C$29,INDIRECT(C$26&amp;"!A"&amp;ROW()-C$32+C$31&amp;":F"&amp;ROW()-C$32+C$31),C136))</f>
        <v/>
      </c>
      <c r="D137" t="e">
        <f t="shared" ca="1" si="6"/>
        <v>#N/A</v>
      </c>
      <c r="E137" t="e">
        <f t="shared" ca="1" si="7"/>
        <v>#N/A</v>
      </c>
    </row>
    <row r="138" spans="1:5" x14ac:dyDescent="0.3">
      <c r="A138" t="str" cm="1">
        <f t="array" aca="1" ref="A138" ca="1">IF(OR(INDIRECT($C$26&amp;"!B"&amp;(ROW()-$C$32+$C$31))="",$C$1="M2"),"",1+ROW(A138)-$C$32)</f>
        <v/>
      </c>
      <c r="B138" t="str" cm="1">
        <f t="array" aca="1" ref="B138" ca="1">IF(OR(INDIRECT(C$26&amp;"!B"&amp;(ROW()-C$32+C$31))="",$C$1="M2"),"",1+ROW(B138)-C$32)</f>
        <v/>
      </c>
      <c r="C138" t="str" cm="1">
        <f t="array" aca="1" ref="C138" ca="1">IF(ROW()&gt;(C$33+C$32-C$31),"",GammaSelfNext(C$29,INDIRECT(C$26&amp;"!A"&amp;ROW()-C$32+C$31&amp;":F"&amp;ROW()-C$32+C$31),C137))</f>
        <v/>
      </c>
      <c r="D138" t="e">
        <f t="shared" ca="1" si="6"/>
        <v>#N/A</v>
      </c>
      <c r="E138" t="e">
        <f t="shared" ca="1" si="7"/>
        <v>#N/A</v>
      </c>
    </row>
    <row r="139" spans="1:5" x14ac:dyDescent="0.3">
      <c r="A139" t="str" cm="1">
        <f t="array" aca="1" ref="A139" ca="1">IF(OR(INDIRECT($C$26&amp;"!B"&amp;(ROW()-$C$32+$C$31))="",$C$1="M2"),"",1+ROW(A139)-$C$32)</f>
        <v/>
      </c>
      <c r="B139" t="str" cm="1">
        <f t="array" aca="1" ref="B139" ca="1">IF(OR(INDIRECT(C$26&amp;"!B"&amp;(ROW()-C$32+C$31))="",$C$1="M2"),"",1+ROW(B139)-C$32)</f>
        <v/>
      </c>
      <c r="C139" t="str" cm="1">
        <f t="array" aca="1" ref="C139" ca="1">IF(ROW()&gt;(C$33+C$32-C$31),"",GammaSelfNext(C$29,INDIRECT(C$26&amp;"!A"&amp;ROW()-C$32+C$31&amp;":F"&amp;ROW()-C$32+C$31),C138))</f>
        <v/>
      </c>
      <c r="D139" t="e">
        <f t="shared" ca="1" si="6"/>
        <v>#N/A</v>
      </c>
      <c r="E139" t="e">
        <f t="shared" ca="1" si="7"/>
        <v>#N/A</v>
      </c>
    </row>
    <row r="140" spans="1:5" x14ac:dyDescent="0.3">
      <c r="A140" t="str" cm="1">
        <f t="array" aca="1" ref="A140" ca="1">IF(OR(INDIRECT($C$26&amp;"!B"&amp;(ROW()-$C$32+$C$31))="",$C$1="M2"),"",1+ROW(A140)-$C$32)</f>
        <v/>
      </c>
      <c r="B140" t="str" cm="1">
        <f t="array" aca="1" ref="B140" ca="1">IF(OR(INDIRECT(C$26&amp;"!B"&amp;(ROW()-C$32+C$31))="",$C$1="M2"),"",1+ROW(B140)-C$32)</f>
        <v/>
      </c>
      <c r="C140" t="str" cm="1">
        <f t="array" aca="1" ref="C140" ca="1">IF(ROW()&gt;(C$33+C$32-C$31),"",GammaSelfNext(C$29,INDIRECT(C$26&amp;"!A"&amp;ROW()-C$32+C$31&amp;":F"&amp;ROW()-C$32+C$31),C139))</f>
        <v/>
      </c>
      <c r="D140" t="e">
        <f t="shared" ca="1" si="6"/>
        <v>#N/A</v>
      </c>
      <c r="E140" t="e">
        <f t="shared" ca="1" si="7"/>
        <v>#N/A</v>
      </c>
    </row>
    <row r="141" spans="1:5" x14ac:dyDescent="0.3">
      <c r="A141" t="str" cm="1">
        <f t="array" aca="1" ref="A141" ca="1">IF(OR(INDIRECT($C$26&amp;"!B"&amp;(ROW()-$C$32+$C$31))="",$C$1="M2"),"",1+ROW(A141)-$C$32)</f>
        <v/>
      </c>
      <c r="B141" t="str" cm="1">
        <f t="array" aca="1" ref="B141" ca="1">IF(OR(INDIRECT(C$26&amp;"!B"&amp;(ROW()-C$32+C$31))="",$C$1="M2"),"",1+ROW(B141)-C$32)</f>
        <v/>
      </c>
      <c r="C141" t="str" cm="1">
        <f t="array" aca="1" ref="C141" ca="1">IF(ROW()&gt;(C$33+C$32-C$31),"",GammaSelfNext(C$29,INDIRECT(C$26&amp;"!A"&amp;ROW()-C$32+C$31&amp;":F"&amp;ROW()-C$32+C$31),C140))</f>
        <v/>
      </c>
      <c r="D141" t="e">
        <f t="shared" ca="1" si="6"/>
        <v>#N/A</v>
      </c>
      <c r="E141" t="e">
        <f t="shared" ca="1" si="7"/>
        <v>#N/A</v>
      </c>
    </row>
    <row r="142" spans="1:5" x14ac:dyDescent="0.3">
      <c r="A142" t="str" cm="1">
        <f t="array" aca="1" ref="A142" ca="1">IF(OR(INDIRECT($C$26&amp;"!B"&amp;(ROW()-$C$32+$C$31))="",$C$1="M2"),"",1+ROW(A142)-$C$32)</f>
        <v/>
      </c>
      <c r="B142" t="str" cm="1">
        <f t="array" aca="1" ref="B142" ca="1">IF(OR(INDIRECT(C$26&amp;"!B"&amp;(ROW()-C$32+C$31))="",$C$1="M2"),"",1+ROW(B142)-C$32)</f>
        <v/>
      </c>
      <c r="C142" t="str" cm="1">
        <f t="array" aca="1" ref="C142" ca="1">IF(ROW()&gt;(C$33+C$32-C$31),"",GammaSelfNext(C$29,INDIRECT(C$26&amp;"!A"&amp;ROW()-C$32+C$31&amp;":F"&amp;ROW()-C$32+C$31),C141))</f>
        <v/>
      </c>
      <c r="D142" t="e">
        <f t="shared" ca="1" si="6"/>
        <v>#N/A</v>
      </c>
      <c r="E142" t="e">
        <f t="shared" ca="1" si="7"/>
        <v>#N/A</v>
      </c>
    </row>
    <row r="143" spans="1:5" x14ac:dyDescent="0.3">
      <c r="A143" t="str" cm="1">
        <f t="array" aca="1" ref="A143" ca="1">IF(OR(INDIRECT($C$26&amp;"!B"&amp;(ROW()-$C$32+$C$31))="",$C$1="M2"),"",1+ROW(A143)-$C$32)</f>
        <v/>
      </c>
      <c r="B143" t="str" cm="1">
        <f t="array" aca="1" ref="B143" ca="1">IF(OR(INDIRECT(C$26&amp;"!B"&amp;(ROW()-C$32+C$31))="",$C$1="M2"),"",1+ROW(B143)-C$32)</f>
        <v/>
      </c>
      <c r="C143" t="str" cm="1">
        <f t="array" aca="1" ref="C143" ca="1">IF(ROW()&gt;(C$33+C$32-C$31),"",GammaSelfNext(C$29,INDIRECT(C$26&amp;"!A"&amp;ROW()-C$32+C$31&amp;":F"&amp;ROW()-C$32+C$31),C142))</f>
        <v/>
      </c>
      <c r="D143" t="e">
        <f t="shared" ca="1" si="6"/>
        <v>#N/A</v>
      </c>
      <c r="E143" t="e">
        <f t="shared" ca="1" si="7"/>
        <v>#N/A</v>
      </c>
    </row>
    <row r="144" spans="1:5" x14ac:dyDescent="0.3">
      <c r="A144" t="str" cm="1">
        <f t="array" aca="1" ref="A144" ca="1">IF(OR(INDIRECT($C$26&amp;"!B"&amp;(ROW()-$C$32+$C$31))="",$C$1="M2"),"",1+ROW(A144)-$C$32)</f>
        <v/>
      </c>
      <c r="B144" t="str" cm="1">
        <f t="array" aca="1" ref="B144" ca="1">IF(OR(INDIRECT(C$26&amp;"!B"&amp;(ROW()-C$32+C$31))="",$C$1="M2"),"",1+ROW(B144)-C$32)</f>
        <v/>
      </c>
      <c r="C144" t="str" cm="1">
        <f t="array" aca="1" ref="C144" ca="1">IF(ROW()&gt;(C$33+C$32-C$31),"",GammaSelfNext(C$29,INDIRECT(C$26&amp;"!A"&amp;ROW()-C$32+C$31&amp;":F"&amp;ROW()-C$32+C$31),C143))</f>
        <v/>
      </c>
      <c r="D144" t="e">
        <f t="shared" ca="1" si="6"/>
        <v>#N/A</v>
      </c>
      <c r="E144" t="e">
        <f t="shared" ca="1" si="7"/>
        <v>#N/A</v>
      </c>
    </row>
    <row r="145" spans="1:5" x14ac:dyDescent="0.3">
      <c r="A145" t="str" cm="1">
        <f t="array" aca="1" ref="A145" ca="1">IF(OR(INDIRECT($C$26&amp;"!B"&amp;(ROW()-$C$32+$C$31))="",$C$1="M2"),"",1+ROW(A145)-$C$32)</f>
        <v/>
      </c>
      <c r="B145" t="str" cm="1">
        <f t="array" aca="1" ref="B145" ca="1">IF(OR(INDIRECT(C$26&amp;"!B"&amp;(ROW()-C$32+C$31))="",$C$1="M2"),"",1+ROW(B145)-C$32)</f>
        <v/>
      </c>
      <c r="C145" t="str" cm="1">
        <f t="array" aca="1" ref="C145" ca="1">IF(ROW()&gt;(C$33+C$32-C$31),"",GammaSelfNext(C$29,INDIRECT(C$26&amp;"!A"&amp;ROW()-C$32+C$31&amp;":F"&amp;ROW()-C$32+C$31),C144))</f>
        <v/>
      </c>
      <c r="D145" t="e">
        <f t="shared" ca="1" si="6"/>
        <v>#N/A</v>
      </c>
      <c r="E145" t="e">
        <f t="shared" ca="1" si="7"/>
        <v>#N/A</v>
      </c>
    </row>
    <row r="146" spans="1:5" x14ac:dyDescent="0.3">
      <c r="A146" t="str" cm="1">
        <f t="array" aca="1" ref="A146" ca="1">IF(OR(INDIRECT($C$26&amp;"!B"&amp;(ROW()-$C$32+$C$31))="",$C$1="M2"),"",1+ROW(A146)-$C$32)</f>
        <v/>
      </c>
      <c r="B146" t="str" cm="1">
        <f t="array" aca="1" ref="B146" ca="1">IF(OR(INDIRECT(C$26&amp;"!B"&amp;(ROW()-C$32+C$31))="",$C$1="M2"),"",1+ROW(B146)-C$32)</f>
        <v/>
      </c>
      <c r="C146" t="str" cm="1">
        <f t="array" aca="1" ref="C146" ca="1">IF(ROW()&gt;(C$33+C$32-C$31),"",GammaSelfNext(C$29,INDIRECT(C$26&amp;"!A"&amp;ROW()-C$32+C$31&amp;":F"&amp;ROW()-C$32+C$31),C145))</f>
        <v/>
      </c>
      <c r="D146" t="e">
        <f t="shared" ca="1" si="6"/>
        <v>#N/A</v>
      </c>
      <c r="E146" t="e">
        <f t="shared" ca="1" si="7"/>
        <v>#N/A</v>
      </c>
    </row>
    <row r="147" spans="1:5" x14ac:dyDescent="0.3">
      <c r="A147" t="str" cm="1">
        <f t="array" aca="1" ref="A147" ca="1">IF(OR(INDIRECT($C$26&amp;"!B"&amp;(ROW()-$C$32+$C$31))="",$C$1="M2"),"",1+ROW(A147)-$C$32)</f>
        <v/>
      </c>
      <c r="B147" t="str" cm="1">
        <f t="array" aca="1" ref="B147" ca="1">IF(OR(INDIRECT(C$26&amp;"!B"&amp;(ROW()-C$32+C$31))="",$C$1="M2"),"",1+ROW(B147)-C$32)</f>
        <v/>
      </c>
      <c r="C147" t="str" cm="1">
        <f t="array" aca="1" ref="C147" ca="1">IF(ROW()&gt;(C$33+C$32-C$31),"",GammaSelfNext(C$29,INDIRECT(C$26&amp;"!A"&amp;ROW()-C$32+C$31&amp;":F"&amp;ROW()-C$32+C$31),C146))</f>
        <v/>
      </c>
      <c r="D147" t="e">
        <f t="shared" ca="1" si="6"/>
        <v>#N/A</v>
      </c>
      <c r="E147" t="e">
        <f t="shared" ca="1" si="7"/>
        <v>#N/A</v>
      </c>
    </row>
    <row r="148" spans="1:5" x14ac:dyDescent="0.3">
      <c r="A148" t="str" cm="1">
        <f t="array" aca="1" ref="A148" ca="1">IF(OR(INDIRECT($C$26&amp;"!B"&amp;(ROW()-$C$32+$C$31))="",$C$1="M2"),"",1+ROW(A148)-$C$32)</f>
        <v/>
      </c>
      <c r="B148" t="str" cm="1">
        <f t="array" aca="1" ref="B148" ca="1">IF(OR(INDIRECT(C$26&amp;"!B"&amp;(ROW()-C$32+C$31))="",$C$1="M2"),"",1+ROW(B148)-C$32)</f>
        <v/>
      </c>
      <c r="C148" t="str" cm="1">
        <f t="array" aca="1" ref="C148" ca="1">IF(ROW()&gt;(C$33+C$32-C$31),"",GammaSelfNext(C$29,INDIRECT(C$26&amp;"!A"&amp;ROW()-C$32+C$31&amp;":F"&amp;ROW()-C$32+C$31),C147))</f>
        <v/>
      </c>
      <c r="D148" t="e">
        <f t="shared" ca="1" si="6"/>
        <v>#N/A</v>
      </c>
      <c r="E148" t="e">
        <f t="shared" ca="1" si="7"/>
        <v>#N/A</v>
      </c>
    </row>
    <row r="149" spans="1:5" x14ac:dyDescent="0.3">
      <c r="A149" t="str" cm="1">
        <f t="array" aca="1" ref="A149" ca="1">IF(OR(INDIRECT($C$26&amp;"!B"&amp;(ROW()-$C$32+$C$31))="",$C$1="M2"),"",1+ROW(A149)-$C$32)</f>
        <v/>
      </c>
      <c r="B149" t="str" cm="1">
        <f t="array" aca="1" ref="B149" ca="1">IF(OR(INDIRECT(C$26&amp;"!B"&amp;(ROW()-C$32+C$31))="",$C$1="M2"),"",1+ROW(B149)-C$32)</f>
        <v/>
      </c>
      <c r="C149" t="str" cm="1">
        <f t="array" aca="1" ref="C149" ca="1">IF(ROW()&gt;(C$33+C$32-C$31),"",GammaSelfNext(C$29,INDIRECT(C$26&amp;"!A"&amp;ROW()-C$32+C$31&amp;":F"&amp;ROW()-C$32+C$31),C148))</f>
        <v/>
      </c>
      <c r="D149" t="e">
        <f t="shared" ca="1" si="6"/>
        <v>#N/A</v>
      </c>
      <c r="E149" t="e">
        <f t="shared" ca="1" si="7"/>
        <v>#N/A</v>
      </c>
    </row>
    <row r="150" spans="1:5" x14ac:dyDescent="0.3">
      <c r="A150" t="str" cm="1">
        <f t="array" aca="1" ref="A150" ca="1">IF(OR(INDIRECT($C$26&amp;"!B"&amp;(ROW()-$C$32+$C$31))="",$C$1="M2"),"",1+ROW(A150)-$C$32)</f>
        <v/>
      </c>
      <c r="B150" t="str" cm="1">
        <f t="array" aca="1" ref="B150" ca="1">IF(OR(INDIRECT(C$26&amp;"!B"&amp;(ROW()-C$32+C$31))="",$C$1="M2"),"",1+ROW(B150)-C$32)</f>
        <v/>
      </c>
      <c r="C150" t="str" cm="1">
        <f t="array" aca="1" ref="C150" ca="1">IF(ROW()&gt;(C$33+C$32-C$31),"",GammaSelfNext(C$29,INDIRECT(C$26&amp;"!A"&amp;ROW()-C$32+C$31&amp;":F"&amp;ROW()-C$32+C$31),C149))</f>
        <v/>
      </c>
      <c r="D150" t="e">
        <f t="shared" ca="1" si="6"/>
        <v>#N/A</v>
      </c>
      <c r="E150" t="e">
        <f t="shared" ca="1" si="7"/>
        <v>#N/A</v>
      </c>
    </row>
    <row r="151" spans="1:5" x14ac:dyDescent="0.3">
      <c r="A151" t="str" cm="1">
        <f t="array" aca="1" ref="A151" ca="1">IF(OR(INDIRECT($C$26&amp;"!B"&amp;(ROW()-$C$32+$C$31))="",$C$1="M2"),"",1+ROW(A151)-$C$32)</f>
        <v/>
      </c>
      <c r="B151" t="str" cm="1">
        <f t="array" aca="1" ref="B151" ca="1">IF(OR(INDIRECT(C$26&amp;"!B"&amp;(ROW()-C$32+C$31))="",$C$1="M2"),"",1+ROW(B151)-C$32)</f>
        <v/>
      </c>
      <c r="C151" t="str" cm="1">
        <f t="array" aca="1" ref="C151" ca="1">IF(ROW()&gt;(C$33+C$32-C$31),"",GammaSelfNext(C$29,INDIRECT(C$26&amp;"!A"&amp;ROW()-C$32+C$31&amp;":F"&amp;ROW()-C$32+C$31),C150))</f>
        <v/>
      </c>
      <c r="D151" t="e">
        <f t="shared" ca="1" si="6"/>
        <v>#N/A</v>
      </c>
      <c r="E151" t="e">
        <f t="shared" ca="1" si="7"/>
        <v>#N/A</v>
      </c>
    </row>
    <row r="152" spans="1:5" x14ac:dyDescent="0.3">
      <c r="A152" t="str" cm="1">
        <f t="array" aca="1" ref="A152" ca="1">IF(OR(INDIRECT($C$26&amp;"!B"&amp;(ROW()-$C$32+$C$31))="",$C$1="M2"),"",1+ROW(A152)-$C$32)</f>
        <v/>
      </c>
      <c r="B152" t="str" cm="1">
        <f t="array" aca="1" ref="B152" ca="1">IF(OR(INDIRECT(C$26&amp;"!B"&amp;(ROW()-C$32+C$31))="",$C$1="M2"),"",1+ROW(B152)-C$32)</f>
        <v/>
      </c>
      <c r="C152" t="str" cm="1">
        <f t="array" aca="1" ref="C152" ca="1">IF(ROW()&gt;(C$33+C$32-C$31),"",GammaSelfNext(C$29,INDIRECT(C$26&amp;"!A"&amp;ROW()-C$32+C$31&amp;":F"&amp;ROW()-C$32+C$31),C151))</f>
        <v/>
      </c>
      <c r="D152" t="e">
        <f t="shared" ca="1" si="6"/>
        <v>#N/A</v>
      </c>
      <c r="E152" t="e">
        <f t="shared" ca="1" si="7"/>
        <v>#N/A</v>
      </c>
    </row>
    <row r="153" spans="1:5" x14ac:dyDescent="0.3">
      <c r="A153" t="str" cm="1">
        <f t="array" aca="1" ref="A153" ca="1">IF(OR(INDIRECT($C$26&amp;"!B"&amp;(ROW()-$C$32+$C$31))="",$C$1="M2"),"",1+ROW(A153)-$C$32)</f>
        <v/>
      </c>
      <c r="B153" t="str" cm="1">
        <f t="array" aca="1" ref="B153" ca="1">IF(OR(INDIRECT(C$26&amp;"!B"&amp;(ROW()-C$32+C$31))="",$C$1="M2"),"",1+ROW(B153)-C$32)</f>
        <v/>
      </c>
      <c r="C153" t="str" cm="1">
        <f t="array" aca="1" ref="C153" ca="1">IF(ROW()&gt;(C$33+C$32-C$31),"",GammaSelfNext(C$29,INDIRECT(C$26&amp;"!A"&amp;ROW()-C$32+C$31&amp;":F"&amp;ROW()-C$32+C$31),C152))</f>
        <v/>
      </c>
      <c r="D153" t="e">
        <f t="shared" ca="1" si="6"/>
        <v>#N/A</v>
      </c>
      <c r="E153" t="e">
        <f t="shared" ca="1" si="7"/>
        <v>#N/A</v>
      </c>
    </row>
    <row r="154" spans="1:5" x14ac:dyDescent="0.3">
      <c r="A154" t="str" cm="1">
        <f t="array" aca="1" ref="A154" ca="1">IF(OR(INDIRECT($C$26&amp;"!B"&amp;(ROW()-$C$32+$C$31))="",$C$1="M2"),"",1+ROW(A154)-$C$32)</f>
        <v/>
      </c>
      <c r="B154" t="str" cm="1">
        <f t="array" aca="1" ref="B154" ca="1">IF(OR(INDIRECT(C$26&amp;"!B"&amp;(ROW()-C$32+C$31))="",$C$1="M2"),"",1+ROW(B154)-C$32)</f>
        <v/>
      </c>
      <c r="C154" t="str" cm="1">
        <f t="array" aca="1" ref="C154" ca="1">IF(ROW()&gt;(C$33+C$32-C$31),"",GammaSelfNext(C$29,INDIRECT(C$26&amp;"!A"&amp;ROW()-C$32+C$31&amp;":F"&amp;ROW()-C$32+C$31),C153))</f>
        <v/>
      </c>
      <c r="D154" t="e">
        <f t="shared" ca="1" si="6"/>
        <v>#N/A</v>
      </c>
      <c r="E154" t="e">
        <f t="shared" ca="1" si="7"/>
        <v>#N/A</v>
      </c>
    </row>
    <row r="155" spans="1:5" x14ac:dyDescent="0.3">
      <c r="A155" t="str" cm="1">
        <f t="array" aca="1" ref="A155" ca="1">IF(OR(INDIRECT($C$26&amp;"!B"&amp;(ROW()-$C$32+$C$31))="",$C$1="M2"),"",1+ROW(A155)-$C$32)</f>
        <v/>
      </c>
      <c r="B155" t="str" cm="1">
        <f t="array" aca="1" ref="B155" ca="1">IF(OR(INDIRECT(C$26&amp;"!B"&amp;(ROW()-C$32+C$31))="",$C$1="M2"),"",1+ROW(B155)-C$32)</f>
        <v/>
      </c>
      <c r="C155" t="str" cm="1">
        <f t="array" aca="1" ref="C155" ca="1">IF(ROW()&gt;(C$33+C$32-C$31),"",GammaSelfNext(C$29,INDIRECT(C$26&amp;"!A"&amp;ROW()-C$32+C$31&amp;":F"&amp;ROW()-C$32+C$31),C154))</f>
        <v/>
      </c>
      <c r="D155" t="e">
        <f t="shared" ca="1" si="6"/>
        <v>#N/A</v>
      </c>
      <c r="E155" t="e">
        <f t="shared" ca="1" si="7"/>
        <v>#N/A</v>
      </c>
    </row>
    <row r="156" spans="1:5" x14ac:dyDescent="0.3">
      <c r="A156" t="str" cm="1">
        <f t="array" aca="1" ref="A156" ca="1">IF(OR(INDIRECT($C$26&amp;"!B"&amp;(ROW()-$C$32+$C$31))="",$C$1="M2"),"",1+ROW(A156)-$C$32)</f>
        <v/>
      </c>
      <c r="B156" t="str" cm="1">
        <f t="array" aca="1" ref="B156" ca="1">IF(OR(INDIRECT(C$26&amp;"!B"&amp;(ROW()-C$32+C$31))="",$C$1="M2"),"",1+ROW(B156)-C$32)</f>
        <v/>
      </c>
      <c r="C156" t="str" cm="1">
        <f t="array" aca="1" ref="C156" ca="1">IF(ROW()&gt;(C$33+C$32-C$31),"",GammaSelfNext(C$29,INDIRECT(C$26&amp;"!A"&amp;ROW()-C$32+C$31&amp;":F"&amp;ROW()-C$32+C$31),C155))</f>
        <v/>
      </c>
      <c r="D156" t="e">
        <f t="shared" ca="1" si="6"/>
        <v>#N/A</v>
      </c>
      <c r="E156" t="e">
        <f t="shared" ca="1" si="7"/>
        <v>#N/A</v>
      </c>
    </row>
    <row r="157" spans="1:5" x14ac:dyDescent="0.3">
      <c r="A157" t="str" cm="1">
        <f t="array" aca="1" ref="A157" ca="1">IF(OR(INDIRECT($C$26&amp;"!B"&amp;(ROW()-$C$32+$C$31))="",$C$1="M2"),"",1+ROW(A157)-$C$32)</f>
        <v/>
      </c>
      <c r="B157" t="str" cm="1">
        <f t="array" aca="1" ref="B157" ca="1">IF(OR(INDIRECT(C$26&amp;"!B"&amp;(ROW()-C$32+C$31))="",$C$1="M2"),"",1+ROW(B157)-C$32)</f>
        <v/>
      </c>
      <c r="C157" t="str" cm="1">
        <f t="array" aca="1" ref="C157" ca="1">IF(ROW()&gt;(C$33+C$32-C$31),"",GammaSelfNext(C$29,INDIRECT(C$26&amp;"!A"&amp;ROW()-C$32+C$31&amp;":F"&amp;ROW()-C$32+C$31),C156))</f>
        <v/>
      </c>
      <c r="D157" t="e">
        <f t="shared" ca="1" si="6"/>
        <v>#N/A</v>
      </c>
      <c r="E157" t="e">
        <f t="shared" ca="1" si="7"/>
        <v>#N/A</v>
      </c>
    </row>
    <row r="158" spans="1:5" x14ac:dyDescent="0.3">
      <c r="A158" t="str" cm="1">
        <f t="array" aca="1" ref="A158" ca="1">IF(OR(INDIRECT($C$26&amp;"!B"&amp;(ROW()-$C$32+$C$31))="",$C$1="M2"),"",1+ROW(A158)-$C$32)</f>
        <v/>
      </c>
      <c r="B158" t="str" cm="1">
        <f t="array" aca="1" ref="B158" ca="1">IF(OR(INDIRECT(C$26&amp;"!B"&amp;(ROW()-C$32+C$31))="",$C$1="M2"),"",1+ROW(B158)-C$32)</f>
        <v/>
      </c>
      <c r="C158" t="str" cm="1">
        <f t="array" aca="1" ref="C158" ca="1">IF(ROW()&gt;(C$33+C$32-C$31),"",GammaSelfNext(C$29,INDIRECT(C$26&amp;"!A"&amp;ROW()-C$32+C$31&amp;":F"&amp;ROW()-C$32+C$31),C157))</f>
        <v/>
      </c>
      <c r="D158" t="e">
        <f t="shared" ca="1" si="6"/>
        <v>#N/A</v>
      </c>
      <c r="E158" t="e">
        <f t="shared" ca="1" si="7"/>
        <v>#N/A</v>
      </c>
    </row>
    <row r="159" spans="1:5" x14ac:dyDescent="0.3">
      <c r="A159" t="str" cm="1">
        <f t="array" aca="1" ref="A159" ca="1">IF(OR(INDIRECT($C$26&amp;"!B"&amp;(ROW()-$C$32+$C$31))="",$C$1="M2"),"",1+ROW(A159)-$C$32)</f>
        <v/>
      </c>
      <c r="B159" t="str" cm="1">
        <f t="array" aca="1" ref="B159" ca="1">IF(OR(INDIRECT(C$26&amp;"!B"&amp;(ROW()-C$32+C$31))="",$C$1="M2"),"",1+ROW(B159)-C$32)</f>
        <v/>
      </c>
      <c r="C159" t="str" cm="1">
        <f t="array" aca="1" ref="C159" ca="1">IF(ROW()&gt;(C$33+C$32-C$31),"",GammaSelfNext(C$29,INDIRECT(C$26&amp;"!A"&amp;ROW()-C$32+C$31&amp;":F"&amp;ROW()-C$32+C$31),C158))</f>
        <v/>
      </c>
      <c r="D159" t="e">
        <f t="shared" ca="1" si="6"/>
        <v>#N/A</v>
      </c>
      <c r="E159" t="e">
        <f t="shared" ca="1" si="7"/>
        <v>#N/A</v>
      </c>
    </row>
    <row r="160" spans="1:5" x14ac:dyDescent="0.3">
      <c r="A160" t="str" cm="1">
        <f t="array" aca="1" ref="A160" ca="1">IF(OR(INDIRECT($C$26&amp;"!B"&amp;(ROW()-$C$32+$C$31))="",$C$1="M2"),"",1+ROW(A160)-$C$32)</f>
        <v/>
      </c>
      <c r="B160" t="str" cm="1">
        <f t="array" aca="1" ref="B160" ca="1">IF(OR(INDIRECT(C$26&amp;"!B"&amp;(ROW()-C$32+C$31))="",$C$1="M2"),"",1+ROW(B160)-C$32)</f>
        <v/>
      </c>
      <c r="C160" t="str" cm="1">
        <f t="array" aca="1" ref="C160" ca="1">IF(ROW()&gt;(C$33+C$32-C$31),"",GammaSelfNext(C$29,INDIRECT(C$26&amp;"!A"&amp;ROW()-C$32+C$31&amp;":F"&amp;ROW()-C$32+C$31),C159))</f>
        <v/>
      </c>
      <c r="D160" t="e">
        <f t="shared" ca="1" si="6"/>
        <v>#N/A</v>
      </c>
      <c r="E160" t="e">
        <f t="shared" ca="1" si="7"/>
        <v>#N/A</v>
      </c>
    </row>
    <row r="161" spans="1:5" x14ac:dyDescent="0.3">
      <c r="A161" t="str" cm="1">
        <f t="array" aca="1" ref="A161" ca="1">IF(OR(INDIRECT($C$26&amp;"!B"&amp;(ROW()-$C$32+$C$31))="",$C$1="M2"),"",1+ROW(A161)-$C$32)</f>
        <v/>
      </c>
      <c r="B161" t="str" cm="1">
        <f t="array" aca="1" ref="B161" ca="1">IF(OR(INDIRECT(C$26&amp;"!B"&amp;(ROW()-C$32+C$31))="",$C$1="M2"),"",1+ROW(B161)-C$32)</f>
        <v/>
      </c>
      <c r="C161" t="str" cm="1">
        <f t="array" aca="1" ref="C161" ca="1">IF(ROW()&gt;(C$33+C$32-C$31),"",GammaSelfNext(C$29,INDIRECT(C$26&amp;"!A"&amp;ROW()-C$32+C$31&amp;":F"&amp;ROW()-C$32+C$31),C160))</f>
        <v/>
      </c>
      <c r="D161" t="e">
        <f t="shared" ca="1" si="6"/>
        <v>#N/A</v>
      </c>
      <c r="E161" t="e">
        <f t="shared" ca="1" si="7"/>
        <v>#N/A</v>
      </c>
    </row>
    <row r="162" spans="1:5" x14ac:dyDescent="0.3">
      <c r="A162" t="str" cm="1">
        <f t="array" aca="1" ref="A162" ca="1">IF(OR(INDIRECT($C$26&amp;"!B"&amp;(ROW()-$C$32+$C$31))="",$C$1="M2"),"",1+ROW(A162)-$C$32)</f>
        <v/>
      </c>
      <c r="B162" t="str" cm="1">
        <f t="array" aca="1" ref="B162" ca="1">IF(OR(INDIRECT(C$26&amp;"!B"&amp;(ROW()-C$32+C$31))="",$C$1="M2"),"",1+ROW(B162)-C$32)</f>
        <v/>
      </c>
      <c r="C162" t="str" cm="1">
        <f t="array" aca="1" ref="C162" ca="1">IF(ROW()&gt;(C$33+C$32-C$31),"",GammaSelfNext(C$29,INDIRECT(C$26&amp;"!A"&amp;ROW()-C$32+C$31&amp;":F"&amp;ROW()-C$32+C$31),C161))</f>
        <v/>
      </c>
      <c r="D162" t="e">
        <f t="shared" ca="1" si="6"/>
        <v>#N/A</v>
      </c>
      <c r="E162" t="e">
        <f t="shared" ca="1" si="7"/>
        <v>#N/A</v>
      </c>
    </row>
    <row r="163" spans="1:5" x14ac:dyDescent="0.3">
      <c r="A163" t="str" cm="1">
        <f t="array" aca="1" ref="A163" ca="1">IF(OR(INDIRECT($C$26&amp;"!B"&amp;(ROW()-$C$32+$C$31))="",$C$1="M2"),"",1+ROW(A163)-$C$32)</f>
        <v/>
      </c>
      <c r="B163" t="str" cm="1">
        <f t="array" aca="1" ref="B163" ca="1">IF(OR(INDIRECT(C$26&amp;"!B"&amp;(ROW()-C$32+C$31))="",$C$1="M2"),"",1+ROW(B163)-C$32)</f>
        <v/>
      </c>
      <c r="C163" t="str" cm="1">
        <f t="array" aca="1" ref="C163" ca="1">IF(ROW()&gt;(C$33+C$32-C$31),"",GammaSelfNext(C$29,INDIRECT(C$26&amp;"!A"&amp;ROW()-C$32+C$31&amp;":F"&amp;ROW()-C$32+C$31),C162))</f>
        <v/>
      </c>
      <c r="D163" t="e">
        <f t="shared" ca="1" si="6"/>
        <v>#N/A</v>
      </c>
      <c r="E163" t="e">
        <f t="shared" ca="1" si="7"/>
        <v>#N/A</v>
      </c>
    </row>
    <row r="164" spans="1:5" x14ac:dyDescent="0.3">
      <c r="A164" t="str" cm="1">
        <f t="array" aca="1" ref="A164" ca="1">IF(OR(INDIRECT($C$26&amp;"!B"&amp;(ROW()-$C$32+$C$31))="",$C$1="M2"),"",1+ROW(A164)-$C$32)</f>
        <v/>
      </c>
      <c r="B164" t="str" cm="1">
        <f t="array" aca="1" ref="B164" ca="1">IF(OR(INDIRECT(C$26&amp;"!B"&amp;(ROW()-C$32+C$31))="",$C$1="M2"),"",1+ROW(B164)-C$32)</f>
        <v/>
      </c>
      <c r="C164" t="str" cm="1">
        <f t="array" aca="1" ref="C164" ca="1">IF(ROW()&gt;(C$33+C$32-C$31),"",GammaSelfNext(C$29,INDIRECT(C$26&amp;"!A"&amp;ROW()-C$32+C$31&amp;":F"&amp;ROW()-C$32+C$31),C163))</f>
        <v/>
      </c>
      <c r="D164" t="e">
        <f t="shared" ca="1" si="6"/>
        <v>#N/A</v>
      </c>
      <c r="E164" t="e">
        <f t="shared" ca="1" si="7"/>
        <v>#N/A</v>
      </c>
    </row>
    <row r="165" spans="1:5" x14ac:dyDescent="0.3">
      <c r="A165" t="str" cm="1">
        <f t="array" aca="1" ref="A165" ca="1">IF(OR(INDIRECT($C$26&amp;"!B"&amp;(ROW()-$C$32+$C$31))="",$C$1="M2"),"",1+ROW(A165)-$C$32)</f>
        <v/>
      </c>
      <c r="B165" t="str" cm="1">
        <f t="array" aca="1" ref="B165" ca="1">IF(OR(INDIRECT(C$26&amp;"!B"&amp;(ROW()-C$32+C$31))="",$C$1="M2"),"",1+ROW(B165)-C$32)</f>
        <v/>
      </c>
      <c r="C165" t="str" cm="1">
        <f t="array" aca="1" ref="C165" ca="1">IF(ROW()&gt;(C$33+C$32-C$31),"",GammaSelfNext(C$29,INDIRECT(C$26&amp;"!A"&amp;ROW()-C$32+C$31&amp;":F"&amp;ROW()-C$32+C$31),C164))</f>
        <v/>
      </c>
      <c r="D165" t="e">
        <f t="shared" ca="1" si="6"/>
        <v>#N/A</v>
      </c>
      <c r="E165" t="e">
        <f t="shared" ca="1" si="7"/>
        <v>#N/A</v>
      </c>
    </row>
    <row r="166" spans="1:5" x14ac:dyDescent="0.3">
      <c r="A166" t="str" cm="1">
        <f t="array" aca="1" ref="A166" ca="1">IF(OR(INDIRECT($C$26&amp;"!B"&amp;(ROW()-$C$32+$C$31))="",$C$1="M2"),"",1+ROW(A166)-$C$32)</f>
        <v/>
      </c>
      <c r="B166" t="str" cm="1">
        <f t="array" aca="1" ref="B166" ca="1">IF(OR(INDIRECT(C$26&amp;"!B"&amp;(ROW()-C$32+C$31))="",$C$1="M2"),"",1+ROW(B166)-C$32)</f>
        <v/>
      </c>
      <c r="C166" t="str" cm="1">
        <f t="array" aca="1" ref="C166" ca="1">IF(ROW()&gt;(C$33+C$32-C$31),"",GammaSelfNext(C$29,INDIRECT(C$26&amp;"!A"&amp;ROW()-C$32+C$31&amp;":F"&amp;ROW()-C$32+C$31),C165))</f>
        <v/>
      </c>
      <c r="D166" t="e">
        <f t="shared" ca="1" si="6"/>
        <v>#N/A</v>
      </c>
      <c r="E166" t="e">
        <f t="shared" ca="1" si="7"/>
        <v>#N/A</v>
      </c>
    </row>
    <row r="167" spans="1:5" x14ac:dyDescent="0.3">
      <c r="A167" t="str" cm="1">
        <f t="array" aca="1" ref="A167" ca="1">IF(OR(INDIRECT($C$26&amp;"!B"&amp;(ROW()-$C$32+$C$31))="",$C$1="M2"),"",1+ROW(A167)-$C$32)</f>
        <v/>
      </c>
      <c r="B167" t="str" cm="1">
        <f t="array" aca="1" ref="B167" ca="1">IF(OR(INDIRECT(C$26&amp;"!B"&amp;(ROW()-C$32+C$31))="",$C$1="M2"),"",1+ROW(B167)-C$32)</f>
        <v/>
      </c>
      <c r="C167" t="str" cm="1">
        <f t="array" aca="1" ref="C167" ca="1">IF(ROW()&gt;(C$33+C$32-C$31),"",GammaSelfNext(C$29,INDIRECT(C$26&amp;"!A"&amp;ROW()-C$32+C$31&amp;":F"&amp;ROW()-C$32+C$31),C166))</f>
        <v/>
      </c>
      <c r="D167" t="e">
        <f t="shared" ca="1" si="6"/>
        <v>#N/A</v>
      </c>
      <c r="E167" t="e">
        <f t="shared" ca="1" si="7"/>
        <v>#N/A</v>
      </c>
    </row>
    <row r="168" spans="1:5" x14ac:dyDescent="0.3">
      <c r="A168" t="str" cm="1">
        <f t="array" aca="1" ref="A168" ca="1">IF(OR(INDIRECT($C$26&amp;"!B"&amp;(ROW()-$C$32+$C$31))="",$C$1="M2"),"",1+ROW(A168)-$C$32)</f>
        <v/>
      </c>
      <c r="B168" t="str" cm="1">
        <f t="array" aca="1" ref="B168" ca="1">IF(OR(INDIRECT(C$26&amp;"!B"&amp;(ROW()-C$32+C$31))="",$C$1="M2"),"",1+ROW(B168)-C$32)</f>
        <v/>
      </c>
      <c r="C168" t="str" cm="1">
        <f t="array" aca="1" ref="C168" ca="1">IF(ROW()&gt;(C$33+C$32-C$31),"",GammaSelfNext(C$29,INDIRECT(C$26&amp;"!A"&amp;ROW()-C$32+C$31&amp;":F"&amp;ROW()-C$32+C$31),C167))</f>
        <v/>
      </c>
      <c r="D168" t="e">
        <f t="shared" ca="1" si="6"/>
        <v>#N/A</v>
      </c>
      <c r="E168" t="e">
        <f t="shared" ca="1" si="7"/>
        <v>#N/A</v>
      </c>
    </row>
    <row r="169" spans="1:5" x14ac:dyDescent="0.3">
      <c r="A169" t="str" cm="1">
        <f t="array" aca="1" ref="A169" ca="1">IF(OR(INDIRECT($C$26&amp;"!B"&amp;(ROW()-$C$32+$C$31))="",$C$1="M2"),"",1+ROW(A169)-$C$32)</f>
        <v/>
      </c>
      <c r="B169" t="str" cm="1">
        <f t="array" aca="1" ref="B169" ca="1">IF(OR(INDIRECT(C$26&amp;"!B"&amp;(ROW()-C$32+C$31))="",$C$1="M2"),"",1+ROW(B169)-C$32)</f>
        <v/>
      </c>
      <c r="C169" t="str" cm="1">
        <f t="array" aca="1" ref="C169" ca="1">IF(ROW()&gt;(C$33+C$32-C$31),"",GammaSelfNext(C$29,INDIRECT(C$26&amp;"!A"&amp;ROW()-C$32+C$31&amp;":F"&amp;ROW()-C$32+C$31),C168))</f>
        <v/>
      </c>
      <c r="D169" t="e">
        <f t="shared" ref="D169:D232" ca="1" si="8">IF(C169="",NA(),IMREAL(C169))</f>
        <v>#N/A</v>
      </c>
      <c r="E169" t="e">
        <f t="shared" ref="E169:E232" ca="1" si="9">IF(C169="",NA(),IMAGINARY(C169))</f>
        <v>#N/A</v>
      </c>
    </row>
    <row r="170" spans="1:5" x14ac:dyDescent="0.3">
      <c r="A170" t="str" cm="1">
        <f t="array" aca="1" ref="A170" ca="1">IF(OR(INDIRECT($C$26&amp;"!B"&amp;(ROW()-$C$32+$C$31))="",$C$1="M2"),"",1+ROW(A170)-$C$32)</f>
        <v/>
      </c>
      <c r="B170" t="str" cm="1">
        <f t="array" aca="1" ref="B170" ca="1">IF(OR(INDIRECT(C$26&amp;"!B"&amp;(ROW()-C$32+C$31))="",$C$1="M2"),"",1+ROW(B170)-C$32)</f>
        <v/>
      </c>
      <c r="C170" t="str" cm="1">
        <f t="array" aca="1" ref="C170" ca="1">IF(ROW()&gt;(C$33+C$32-C$31),"",GammaSelfNext(C$29,INDIRECT(C$26&amp;"!A"&amp;ROW()-C$32+C$31&amp;":F"&amp;ROW()-C$32+C$31),C169))</f>
        <v/>
      </c>
      <c r="D170" t="e">
        <f t="shared" ca="1" si="8"/>
        <v>#N/A</v>
      </c>
      <c r="E170" t="e">
        <f t="shared" ca="1" si="9"/>
        <v>#N/A</v>
      </c>
    </row>
    <row r="171" spans="1:5" x14ac:dyDescent="0.3">
      <c r="A171" t="str" cm="1">
        <f t="array" aca="1" ref="A171" ca="1">IF(OR(INDIRECT($C$26&amp;"!B"&amp;(ROW()-$C$32+$C$31))="",$C$1="M2"),"",1+ROW(A171)-$C$32)</f>
        <v/>
      </c>
      <c r="B171" t="str" cm="1">
        <f t="array" aca="1" ref="B171" ca="1">IF(OR(INDIRECT(C$26&amp;"!B"&amp;(ROW()-C$32+C$31))="",$C$1="M2"),"",1+ROW(B171)-C$32)</f>
        <v/>
      </c>
      <c r="C171" t="str" cm="1">
        <f t="array" aca="1" ref="C171" ca="1">IF(ROW()&gt;(C$33+C$32-C$31),"",GammaSelfNext(C$29,INDIRECT(C$26&amp;"!A"&amp;ROW()-C$32+C$31&amp;":F"&amp;ROW()-C$32+C$31),C170))</f>
        <v/>
      </c>
      <c r="D171" t="e">
        <f t="shared" ca="1" si="8"/>
        <v>#N/A</v>
      </c>
      <c r="E171" t="e">
        <f t="shared" ca="1" si="9"/>
        <v>#N/A</v>
      </c>
    </row>
    <row r="172" spans="1:5" x14ac:dyDescent="0.3">
      <c r="A172" t="str" cm="1">
        <f t="array" aca="1" ref="A172" ca="1">IF(OR(INDIRECT($C$26&amp;"!B"&amp;(ROW()-$C$32+$C$31))="",$C$1="M2"),"",1+ROW(A172)-$C$32)</f>
        <v/>
      </c>
      <c r="B172" t="str" cm="1">
        <f t="array" aca="1" ref="B172" ca="1">IF(OR(INDIRECT(C$26&amp;"!B"&amp;(ROW()-C$32+C$31))="",$C$1="M2"),"",1+ROW(B172)-C$32)</f>
        <v/>
      </c>
      <c r="C172" t="str" cm="1">
        <f t="array" aca="1" ref="C172" ca="1">IF(ROW()&gt;(C$33+C$32-C$31),"",GammaSelfNext(C$29,INDIRECT(C$26&amp;"!A"&amp;ROW()-C$32+C$31&amp;":F"&amp;ROW()-C$32+C$31),C171))</f>
        <v/>
      </c>
      <c r="D172" t="e">
        <f t="shared" ca="1" si="8"/>
        <v>#N/A</v>
      </c>
      <c r="E172" t="e">
        <f t="shared" ca="1" si="9"/>
        <v>#N/A</v>
      </c>
    </row>
    <row r="173" spans="1:5" x14ac:dyDescent="0.3">
      <c r="A173" t="str" cm="1">
        <f t="array" aca="1" ref="A173" ca="1">IF(OR(INDIRECT($C$26&amp;"!B"&amp;(ROW()-$C$32+$C$31))="",$C$1="M2"),"",1+ROW(A173)-$C$32)</f>
        <v/>
      </c>
      <c r="B173" t="str" cm="1">
        <f t="array" aca="1" ref="B173" ca="1">IF(OR(INDIRECT(C$26&amp;"!B"&amp;(ROW()-C$32+C$31))="",$C$1="M2"),"",1+ROW(B173)-C$32)</f>
        <v/>
      </c>
      <c r="C173" t="str" cm="1">
        <f t="array" aca="1" ref="C173" ca="1">IF(ROW()&gt;(C$33+C$32-C$31),"",GammaSelfNext(C$29,INDIRECT(C$26&amp;"!A"&amp;ROW()-C$32+C$31&amp;":F"&amp;ROW()-C$32+C$31),C172))</f>
        <v/>
      </c>
      <c r="D173" t="e">
        <f t="shared" ca="1" si="8"/>
        <v>#N/A</v>
      </c>
      <c r="E173" t="e">
        <f t="shared" ca="1" si="9"/>
        <v>#N/A</v>
      </c>
    </row>
    <row r="174" spans="1:5" x14ac:dyDescent="0.3">
      <c r="A174" t="str" cm="1">
        <f t="array" aca="1" ref="A174" ca="1">IF(OR(INDIRECT($C$26&amp;"!B"&amp;(ROW()-$C$32+$C$31))="",$C$1="M2"),"",1+ROW(A174)-$C$32)</f>
        <v/>
      </c>
      <c r="B174" t="str" cm="1">
        <f t="array" aca="1" ref="B174" ca="1">IF(OR(INDIRECT(C$26&amp;"!B"&amp;(ROW()-C$32+C$31))="",$C$1="M2"),"",1+ROW(B174)-C$32)</f>
        <v/>
      </c>
      <c r="C174" t="str" cm="1">
        <f t="array" aca="1" ref="C174" ca="1">IF(ROW()&gt;(C$33+C$32-C$31),"",GammaSelfNext(C$29,INDIRECT(C$26&amp;"!A"&amp;ROW()-C$32+C$31&amp;":F"&amp;ROW()-C$32+C$31),C173))</f>
        <v/>
      </c>
      <c r="D174" t="e">
        <f t="shared" ca="1" si="8"/>
        <v>#N/A</v>
      </c>
      <c r="E174" t="e">
        <f t="shared" ca="1" si="9"/>
        <v>#N/A</v>
      </c>
    </row>
    <row r="175" spans="1:5" x14ac:dyDescent="0.3">
      <c r="A175" t="str" cm="1">
        <f t="array" aca="1" ref="A175" ca="1">IF(OR(INDIRECT($C$26&amp;"!B"&amp;(ROW()-$C$32+$C$31))="",$C$1="M2"),"",1+ROW(A175)-$C$32)</f>
        <v/>
      </c>
      <c r="B175" t="str" cm="1">
        <f t="array" aca="1" ref="B175" ca="1">IF(OR(INDIRECT(C$26&amp;"!B"&amp;(ROW()-C$32+C$31))="",$C$1="M2"),"",1+ROW(B175)-C$32)</f>
        <v/>
      </c>
      <c r="C175" t="str" cm="1">
        <f t="array" aca="1" ref="C175" ca="1">IF(ROW()&gt;(C$33+C$32-C$31),"",GammaSelfNext(C$29,INDIRECT(C$26&amp;"!A"&amp;ROW()-C$32+C$31&amp;":F"&amp;ROW()-C$32+C$31),C174))</f>
        <v/>
      </c>
      <c r="D175" t="e">
        <f t="shared" ca="1" si="8"/>
        <v>#N/A</v>
      </c>
      <c r="E175" t="e">
        <f t="shared" ca="1" si="9"/>
        <v>#N/A</v>
      </c>
    </row>
    <row r="176" spans="1:5" x14ac:dyDescent="0.3">
      <c r="A176" t="str" cm="1">
        <f t="array" aca="1" ref="A176" ca="1">IF(OR(INDIRECT($C$26&amp;"!B"&amp;(ROW()-$C$32+$C$31))="",$C$1="M2"),"",1+ROW(A176)-$C$32)</f>
        <v/>
      </c>
      <c r="B176" t="str" cm="1">
        <f t="array" aca="1" ref="B176" ca="1">IF(OR(INDIRECT(C$26&amp;"!B"&amp;(ROW()-C$32+C$31))="",$C$1="M2"),"",1+ROW(B176)-C$32)</f>
        <v/>
      </c>
      <c r="C176" t="str" cm="1">
        <f t="array" aca="1" ref="C176" ca="1">IF(ROW()&gt;(C$33+C$32-C$31),"",GammaSelfNext(C$29,INDIRECT(C$26&amp;"!A"&amp;ROW()-C$32+C$31&amp;":F"&amp;ROW()-C$32+C$31),C175))</f>
        <v/>
      </c>
      <c r="D176" t="e">
        <f t="shared" ca="1" si="8"/>
        <v>#N/A</v>
      </c>
      <c r="E176" t="e">
        <f t="shared" ca="1" si="9"/>
        <v>#N/A</v>
      </c>
    </row>
    <row r="177" spans="1:5" x14ac:dyDescent="0.3">
      <c r="A177" t="str" cm="1">
        <f t="array" aca="1" ref="A177" ca="1">IF(OR(INDIRECT($C$26&amp;"!B"&amp;(ROW()-$C$32+$C$31))="",$C$1="M2"),"",1+ROW(A177)-$C$32)</f>
        <v/>
      </c>
      <c r="B177" t="str" cm="1">
        <f t="array" aca="1" ref="B177" ca="1">IF(OR(INDIRECT(C$26&amp;"!B"&amp;(ROW()-C$32+C$31))="",$C$1="M2"),"",1+ROW(B177)-C$32)</f>
        <v/>
      </c>
      <c r="C177" t="str" cm="1">
        <f t="array" aca="1" ref="C177" ca="1">IF(ROW()&gt;(C$33+C$32-C$31),"",GammaSelfNext(C$29,INDIRECT(C$26&amp;"!A"&amp;ROW()-C$32+C$31&amp;":F"&amp;ROW()-C$32+C$31),C176))</f>
        <v/>
      </c>
      <c r="D177" t="e">
        <f t="shared" ca="1" si="8"/>
        <v>#N/A</v>
      </c>
      <c r="E177" t="e">
        <f t="shared" ca="1" si="9"/>
        <v>#N/A</v>
      </c>
    </row>
    <row r="178" spans="1:5" x14ac:dyDescent="0.3">
      <c r="A178" t="str" cm="1">
        <f t="array" aca="1" ref="A178" ca="1">IF(OR(INDIRECT($C$26&amp;"!B"&amp;(ROW()-$C$32+$C$31))="",$C$1="M2"),"",1+ROW(A178)-$C$32)</f>
        <v/>
      </c>
      <c r="B178" t="str" cm="1">
        <f t="array" aca="1" ref="B178" ca="1">IF(OR(INDIRECT(C$26&amp;"!B"&amp;(ROW()-C$32+C$31))="",$C$1="M2"),"",1+ROW(B178)-C$32)</f>
        <v/>
      </c>
      <c r="C178" t="str" cm="1">
        <f t="array" aca="1" ref="C178" ca="1">IF(ROW()&gt;(C$33+C$32-C$31),"",GammaSelfNext(C$29,INDIRECT(C$26&amp;"!A"&amp;ROW()-C$32+C$31&amp;":F"&amp;ROW()-C$32+C$31),C177))</f>
        <v/>
      </c>
      <c r="D178" t="e">
        <f t="shared" ca="1" si="8"/>
        <v>#N/A</v>
      </c>
      <c r="E178" t="e">
        <f t="shared" ca="1" si="9"/>
        <v>#N/A</v>
      </c>
    </row>
    <row r="179" spans="1:5" x14ac:dyDescent="0.3">
      <c r="A179" t="str" cm="1">
        <f t="array" aca="1" ref="A179" ca="1">IF(OR(INDIRECT($C$26&amp;"!B"&amp;(ROW()-$C$32+$C$31))="",$C$1="M2"),"",1+ROW(A179)-$C$32)</f>
        <v/>
      </c>
      <c r="B179" t="str" cm="1">
        <f t="array" aca="1" ref="B179" ca="1">IF(OR(INDIRECT(C$26&amp;"!B"&amp;(ROW()-C$32+C$31))="",$C$1="M2"),"",1+ROW(B179)-C$32)</f>
        <v/>
      </c>
      <c r="C179" t="str" cm="1">
        <f t="array" aca="1" ref="C179" ca="1">IF(ROW()&gt;(C$33+C$32-C$31),"",GammaSelfNext(C$29,INDIRECT(C$26&amp;"!A"&amp;ROW()-C$32+C$31&amp;":F"&amp;ROW()-C$32+C$31),C178))</f>
        <v/>
      </c>
      <c r="D179" t="e">
        <f t="shared" ca="1" si="8"/>
        <v>#N/A</v>
      </c>
      <c r="E179" t="e">
        <f t="shared" ca="1" si="9"/>
        <v>#N/A</v>
      </c>
    </row>
    <row r="180" spans="1:5" x14ac:dyDescent="0.3">
      <c r="A180" t="str" cm="1">
        <f t="array" aca="1" ref="A180" ca="1">IF(OR(INDIRECT($C$26&amp;"!B"&amp;(ROW()-$C$32+$C$31))="",$C$1="M2"),"",1+ROW(A180)-$C$32)</f>
        <v/>
      </c>
      <c r="B180" t="str" cm="1">
        <f t="array" aca="1" ref="B180" ca="1">IF(OR(INDIRECT(C$26&amp;"!B"&amp;(ROW()-C$32+C$31))="",$C$1="M2"),"",1+ROW(B180)-C$32)</f>
        <v/>
      </c>
      <c r="C180" t="str" cm="1">
        <f t="array" aca="1" ref="C180" ca="1">IF(ROW()&gt;(C$33+C$32-C$31),"",GammaSelfNext(C$29,INDIRECT(C$26&amp;"!A"&amp;ROW()-C$32+C$31&amp;":F"&amp;ROW()-C$32+C$31),C179))</f>
        <v/>
      </c>
      <c r="D180" t="e">
        <f t="shared" ca="1" si="8"/>
        <v>#N/A</v>
      </c>
      <c r="E180" t="e">
        <f t="shared" ca="1" si="9"/>
        <v>#N/A</v>
      </c>
    </row>
    <row r="181" spans="1:5" x14ac:dyDescent="0.3">
      <c r="A181" t="str" cm="1">
        <f t="array" aca="1" ref="A181" ca="1">IF(OR(INDIRECT($C$26&amp;"!B"&amp;(ROW()-$C$32+$C$31))="",$C$1="M2"),"",1+ROW(A181)-$C$32)</f>
        <v/>
      </c>
      <c r="B181" t="str" cm="1">
        <f t="array" aca="1" ref="B181" ca="1">IF(OR(INDIRECT(C$26&amp;"!B"&amp;(ROW()-C$32+C$31))="",$C$1="M2"),"",1+ROW(B181)-C$32)</f>
        <v/>
      </c>
      <c r="C181" t="str" cm="1">
        <f t="array" aca="1" ref="C181" ca="1">IF(ROW()&gt;(C$33+C$32-C$31),"",GammaSelfNext(C$29,INDIRECT(C$26&amp;"!A"&amp;ROW()-C$32+C$31&amp;":F"&amp;ROW()-C$32+C$31),C180))</f>
        <v/>
      </c>
      <c r="D181" t="e">
        <f t="shared" ca="1" si="8"/>
        <v>#N/A</v>
      </c>
      <c r="E181" t="e">
        <f t="shared" ca="1" si="9"/>
        <v>#N/A</v>
      </c>
    </row>
    <row r="182" spans="1:5" x14ac:dyDescent="0.3">
      <c r="A182" t="str" cm="1">
        <f t="array" aca="1" ref="A182" ca="1">IF(OR(INDIRECT($C$26&amp;"!B"&amp;(ROW()-$C$32+$C$31))="",$C$1="M2"),"",1+ROW(A182)-$C$32)</f>
        <v/>
      </c>
      <c r="B182" t="str" cm="1">
        <f t="array" aca="1" ref="B182" ca="1">IF(OR(INDIRECT(C$26&amp;"!B"&amp;(ROW()-C$32+C$31))="",$C$1="M2"),"",1+ROW(B182)-C$32)</f>
        <v/>
      </c>
      <c r="C182" t="str" cm="1">
        <f t="array" aca="1" ref="C182" ca="1">IF(ROW()&gt;(C$33+C$32-C$31),"",GammaSelfNext(C$29,INDIRECT(C$26&amp;"!A"&amp;ROW()-C$32+C$31&amp;":F"&amp;ROW()-C$32+C$31),C181))</f>
        <v/>
      </c>
      <c r="D182" t="e">
        <f t="shared" ca="1" si="8"/>
        <v>#N/A</v>
      </c>
      <c r="E182" t="e">
        <f t="shared" ca="1" si="9"/>
        <v>#N/A</v>
      </c>
    </row>
    <row r="183" spans="1:5" x14ac:dyDescent="0.3">
      <c r="A183" t="str" cm="1">
        <f t="array" aca="1" ref="A183" ca="1">IF(OR(INDIRECT($C$26&amp;"!B"&amp;(ROW()-$C$32+$C$31))="",$C$1="M2"),"",1+ROW(A183)-$C$32)</f>
        <v/>
      </c>
      <c r="B183" t="str" cm="1">
        <f t="array" aca="1" ref="B183" ca="1">IF(OR(INDIRECT(C$26&amp;"!B"&amp;(ROW()-C$32+C$31))="",$C$1="M2"),"",1+ROW(B183)-C$32)</f>
        <v/>
      </c>
      <c r="C183" t="str" cm="1">
        <f t="array" aca="1" ref="C183" ca="1">IF(ROW()&gt;(C$33+C$32-C$31),"",GammaSelfNext(C$29,INDIRECT(C$26&amp;"!A"&amp;ROW()-C$32+C$31&amp;":F"&amp;ROW()-C$32+C$31),C182))</f>
        <v/>
      </c>
      <c r="D183" t="e">
        <f t="shared" ca="1" si="8"/>
        <v>#N/A</v>
      </c>
      <c r="E183" t="e">
        <f t="shared" ca="1" si="9"/>
        <v>#N/A</v>
      </c>
    </row>
    <row r="184" spans="1:5" x14ac:dyDescent="0.3">
      <c r="A184" t="str" cm="1">
        <f t="array" aca="1" ref="A184" ca="1">IF(OR(INDIRECT($C$26&amp;"!B"&amp;(ROW()-$C$32+$C$31))="",$C$1="M2"),"",1+ROW(A184)-$C$32)</f>
        <v/>
      </c>
      <c r="B184" t="str" cm="1">
        <f t="array" aca="1" ref="B184" ca="1">IF(OR(INDIRECT(C$26&amp;"!B"&amp;(ROW()-C$32+C$31))="",$C$1="M2"),"",1+ROW(B184)-C$32)</f>
        <v/>
      </c>
      <c r="C184" t="str" cm="1">
        <f t="array" aca="1" ref="C184" ca="1">IF(ROW()&gt;(C$33+C$32-C$31),"",GammaSelfNext(C$29,INDIRECT(C$26&amp;"!A"&amp;ROW()-C$32+C$31&amp;":F"&amp;ROW()-C$32+C$31),C183))</f>
        <v/>
      </c>
      <c r="D184" t="e">
        <f t="shared" ca="1" si="8"/>
        <v>#N/A</v>
      </c>
      <c r="E184" t="e">
        <f t="shared" ca="1" si="9"/>
        <v>#N/A</v>
      </c>
    </row>
    <row r="185" spans="1:5" x14ac:dyDescent="0.3">
      <c r="A185" t="str" cm="1">
        <f t="array" aca="1" ref="A185" ca="1">IF(OR(INDIRECT($C$26&amp;"!B"&amp;(ROW()-$C$32+$C$31))="",$C$1="M2"),"",1+ROW(A185)-$C$32)</f>
        <v/>
      </c>
      <c r="B185" t="str" cm="1">
        <f t="array" aca="1" ref="B185" ca="1">IF(OR(INDIRECT(C$26&amp;"!B"&amp;(ROW()-C$32+C$31))="",$C$1="M2"),"",1+ROW(B185)-C$32)</f>
        <v/>
      </c>
      <c r="C185" t="str" cm="1">
        <f t="array" aca="1" ref="C185" ca="1">IF(ROW()&gt;(C$33+C$32-C$31),"",GammaSelfNext(C$29,INDIRECT(C$26&amp;"!A"&amp;ROW()-C$32+C$31&amp;":F"&amp;ROW()-C$32+C$31),C184))</f>
        <v/>
      </c>
      <c r="D185" t="e">
        <f t="shared" ca="1" si="8"/>
        <v>#N/A</v>
      </c>
      <c r="E185" t="e">
        <f t="shared" ca="1" si="9"/>
        <v>#N/A</v>
      </c>
    </row>
    <row r="186" spans="1:5" x14ac:dyDescent="0.3">
      <c r="A186" t="str" cm="1">
        <f t="array" aca="1" ref="A186" ca="1">IF(OR(INDIRECT($C$26&amp;"!B"&amp;(ROW()-$C$32+$C$31))="",$C$1="M2"),"",1+ROW(A186)-$C$32)</f>
        <v/>
      </c>
      <c r="B186" t="str" cm="1">
        <f t="array" aca="1" ref="B186" ca="1">IF(OR(INDIRECT(C$26&amp;"!B"&amp;(ROW()-C$32+C$31))="",$C$1="M2"),"",1+ROW(B186)-C$32)</f>
        <v/>
      </c>
      <c r="C186" t="str" cm="1">
        <f t="array" aca="1" ref="C186" ca="1">IF(ROW()&gt;(C$33+C$32-C$31),"",GammaSelfNext(C$29,INDIRECT(C$26&amp;"!A"&amp;ROW()-C$32+C$31&amp;":F"&amp;ROW()-C$32+C$31),C185))</f>
        <v/>
      </c>
      <c r="D186" t="e">
        <f t="shared" ca="1" si="8"/>
        <v>#N/A</v>
      </c>
      <c r="E186" t="e">
        <f t="shared" ca="1" si="9"/>
        <v>#N/A</v>
      </c>
    </row>
    <row r="187" spans="1:5" x14ac:dyDescent="0.3">
      <c r="A187" t="str" cm="1">
        <f t="array" aca="1" ref="A187" ca="1">IF(OR(INDIRECT($C$26&amp;"!B"&amp;(ROW()-$C$32+$C$31))="",$C$1="M2"),"",1+ROW(A187)-$C$32)</f>
        <v/>
      </c>
      <c r="B187" t="str" cm="1">
        <f t="array" aca="1" ref="B187" ca="1">IF(OR(INDIRECT(C$26&amp;"!B"&amp;(ROW()-C$32+C$31))="",$C$1="M2"),"",1+ROW(B187)-C$32)</f>
        <v/>
      </c>
      <c r="C187" t="str" cm="1">
        <f t="array" aca="1" ref="C187" ca="1">IF(ROW()&gt;(C$33+C$32-C$31),"",GammaSelfNext(C$29,INDIRECT(C$26&amp;"!A"&amp;ROW()-C$32+C$31&amp;":F"&amp;ROW()-C$32+C$31),C186))</f>
        <v/>
      </c>
      <c r="D187" t="e">
        <f t="shared" ca="1" si="8"/>
        <v>#N/A</v>
      </c>
      <c r="E187" t="e">
        <f t="shared" ca="1" si="9"/>
        <v>#N/A</v>
      </c>
    </row>
    <row r="188" spans="1:5" x14ac:dyDescent="0.3">
      <c r="A188" t="str" cm="1">
        <f t="array" aca="1" ref="A188" ca="1">IF(OR(INDIRECT($C$26&amp;"!B"&amp;(ROW()-$C$32+$C$31))="",$C$1="M2"),"",1+ROW(A188)-$C$32)</f>
        <v/>
      </c>
      <c r="B188" t="str" cm="1">
        <f t="array" aca="1" ref="B188" ca="1">IF(OR(INDIRECT(C$26&amp;"!B"&amp;(ROW()-C$32+C$31))="",$C$1="M2"),"",1+ROW(B188)-C$32)</f>
        <v/>
      </c>
      <c r="C188" t="str" cm="1">
        <f t="array" aca="1" ref="C188" ca="1">IF(ROW()&gt;(C$33+C$32-C$31),"",GammaSelfNext(C$29,INDIRECT(C$26&amp;"!A"&amp;ROW()-C$32+C$31&amp;":F"&amp;ROW()-C$32+C$31),C187))</f>
        <v/>
      </c>
      <c r="D188" t="e">
        <f t="shared" ca="1" si="8"/>
        <v>#N/A</v>
      </c>
      <c r="E188" t="e">
        <f t="shared" ca="1" si="9"/>
        <v>#N/A</v>
      </c>
    </row>
    <row r="189" spans="1:5" x14ac:dyDescent="0.3">
      <c r="A189" t="str" cm="1">
        <f t="array" aca="1" ref="A189" ca="1">IF(OR(INDIRECT($C$26&amp;"!B"&amp;(ROW()-$C$32+$C$31))="",$C$1="M2"),"",1+ROW(A189)-$C$32)</f>
        <v/>
      </c>
      <c r="B189" t="str" cm="1">
        <f t="array" aca="1" ref="B189" ca="1">IF(OR(INDIRECT(C$26&amp;"!B"&amp;(ROW()-C$32+C$31))="",$C$1="M2"),"",1+ROW(B189)-C$32)</f>
        <v/>
      </c>
      <c r="C189" t="str" cm="1">
        <f t="array" aca="1" ref="C189" ca="1">IF(ROW()&gt;(C$33+C$32-C$31),"",GammaSelfNext(C$29,INDIRECT(C$26&amp;"!A"&amp;ROW()-C$32+C$31&amp;":F"&amp;ROW()-C$32+C$31),C188))</f>
        <v/>
      </c>
      <c r="D189" t="e">
        <f t="shared" ca="1" si="8"/>
        <v>#N/A</v>
      </c>
      <c r="E189" t="e">
        <f t="shared" ca="1" si="9"/>
        <v>#N/A</v>
      </c>
    </row>
    <row r="190" spans="1:5" x14ac:dyDescent="0.3">
      <c r="A190" t="str" cm="1">
        <f t="array" aca="1" ref="A190" ca="1">IF(OR(INDIRECT($C$26&amp;"!B"&amp;(ROW()-$C$32+$C$31))="",$C$1="M2"),"",1+ROW(A190)-$C$32)</f>
        <v/>
      </c>
      <c r="B190" t="str" cm="1">
        <f t="array" aca="1" ref="B190" ca="1">IF(OR(INDIRECT(C$26&amp;"!B"&amp;(ROW()-C$32+C$31))="",$C$1="M2"),"",1+ROW(B190)-C$32)</f>
        <v/>
      </c>
      <c r="C190" t="str" cm="1">
        <f t="array" aca="1" ref="C190" ca="1">IF(ROW()&gt;(C$33+C$32-C$31),"",GammaSelfNext(C$29,INDIRECT(C$26&amp;"!A"&amp;ROW()-C$32+C$31&amp;":F"&amp;ROW()-C$32+C$31),C189))</f>
        <v/>
      </c>
      <c r="D190" t="e">
        <f t="shared" ca="1" si="8"/>
        <v>#N/A</v>
      </c>
      <c r="E190" t="e">
        <f t="shared" ca="1" si="9"/>
        <v>#N/A</v>
      </c>
    </row>
    <row r="191" spans="1:5" x14ac:dyDescent="0.3">
      <c r="A191" t="str" cm="1">
        <f t="array" aca="1" ref="A191" ca="1">IF(OR(INDIRECT($C$26&amp;"!B"&amp;(ROW()-$C$32+$C$31))="",$C$1="M2"),"",1+ROW(A191)-$C$32)</f>
        <v/>
      </c>
      <c r="B191" t="str" cm="1">
        <f t="array" aca="1" ref="B191" ca="1">IF(OR(INDIRECT(C$26&amp;"!B"&amp;(ROW()-C$32+C$31))="",$C$1="M2"),"",1+ROW(B191)-C$32)</f>
        <v/>
      </c>
      <c r="C191" t="str" cm="1">
        <f t="array" aca="1" ref="C191" ca="1">IF(ROW()&gt;(C$33+C$32-C$31),"",GammaSelfNext(C$29,INDIRECT(C$26&amp;"!A"&amp;ROW()-C$32+C$31&amp;":F"&amp;ROW()-C$32+C$31),C190))</f>
        <v/>
      </c>
      <c r="D191" t="e">
        <f t="shared" ca="1" si="8"/>
        <v>#N/A</v>
      </c>
      <c r="E191" t="e">
        <f t="shared" ca="1" si="9"/>
        <v>#N/A</v>
      </c>
    </row>
    <row r="192" spans="1:5" x14ac:dyDescent="0.3">
      <c r="A192" t="str" cm="1">
        <f t="array" aca="1" ref="A192" ca="1">IF(OR(INDIRECT($C$26&amp;"!B"&amp;(ROW()-$C$32+$C$31))="",$C$1="M2"),"",1+ROW(A192)-$C$32)</f>
        <v/>
      </c>
      <c r="B192" t="str" cm="1">
        <f t="array" aca="1" ref="B192" ca="1">IF(OR(INDIRECT(C$26&amp;"!B"&amp;(ROW()-C$32+C$31))="",$C$1="M2"),"",1+ROW(B192)-C$32)</f>
        <v/>
      </c>
      <c r="C192" t="str" cm="1">
        <f t="array" aca="1" ref="C192" ca="1">IF(ROW()&gt;(C$33+C$32-C$31),"",GammaSelfNext(C$29,INDIRECT(C$26&amp;"!A"&amp;ROW()-C$32+C$31&amp;":F"&amp;ROW()-C$32+C$31),C191))</f>
        <v/>
      </c>
      <c r="D192" t="e">
        <f t="shared" ca="1" si="8"/>
        <v>#N/A</v>
      </c>
      <c r="E192" t="e">
        <f t="shared" ca="1" si="9"/>
        <v>#N/A</v>
      </c>
    </row>
    <row r="193" spans="1:5" x14ac:dyDescent="0.3">
      <c r="A193" t="str" cm="1">
        <f t="array" aca="1" ref="A193" ca="1">IF(OR(INDIRECT($C$26&amp;"!B"&amp;(ROW()-$C$32+$C$31))="",$C$1="M2"),"",1+ROW(A193)-$C$32)</f>
        <v/>
      </c>
      <c r="B193" t="str" cm="1">
        <f t="array" aca="1" ref="B193" ca="1">IF(OR(INDIRECT(C$26&amp;"!B"&amp;(ROW()-C$32+C$31))="",$C$1="M2"),"",1+ROW(B193)-C$32)</f>
        <v/>
      </c>
      <c r="C193" t="str" cm="1">
        <f t="array" aca="1" ref="C193" ca="1">IF(ROW()&gt;(C$33+C$32-C$31),"",GammaSelfNext(C$29,INDIRECT(C$26&amp;"!A"&amp;ROW()-C$32+C$31&amp;":F"&amp;ROW()-C$32+C$31),C192))</f>
        <v/>
      </c>
      <c r="D193" t="e">
        <f t="shared" ca="1" si="8"/>
        <v>#N/A</v>
      </c>
      <c r="E193" t="e">
        <f t="shared" ca="1" si="9"/>
        <v>#N/A</v>
      </c>
    </row>
    <row r="194" spans="1:5" x14ac:dyDescent="0.3">
      <c r="A194" t="str" cm="1">
        <f t="array" aca="1" ref="A194" ca="1">IF(OR(INDIRECT($C$26&amp;"!B"&amp;(ROW()-$C$32+$C$31))="",$C$1="M2"),"",1+ROW(A194)-$C$32)</f>
        <v/>
      </c>
      <c r="B194" t="str" cm="1">
        <f t="array" aca="1" ref="B194" ca="1">IF(OR(INDIRECT(C$26&amp;"!B"&amp;(ROW()-C$32+C$31))="",$C$1="M2"),"",1+ROW(B194)-C$32)</f>
        <v/>
      </c>
      <c r="C194" t="str" cm="1">
        <f t="array" aca="1" ref="C194" ca="1">IF(ROW()&gt;(C$33+C$32-C$31),"",GammaSelfNext(C$29,INDIRECT(C$26&amp;"!A"&amp;ROW()-C$32+C$31&amp;":F"&amp;ROW()-C$32+C$31),C193))</f>
        <v/>
      </c>
      <c r="D194" t="e">
        <f t="shared" ca="1" si="8"/>
        <v>#N/A</v>
      </c>
      <c r="E194" t="e">
        <f t="shared" ca="1" si="9"/>
        <v>#N/A</v>
      </c>
    </row>
    <row r="195" spans="1:5" x14ac:dyDescent="0.3">
      <c r="A195" t="str" cm="1">
        <f t="array" aca="1" ref="A195" ca="1">IF(OR(INDIRECT($C$26&amp;"!B"&amp;(ROW()-$C$32+$C$31))="",$C$1="M2"),"",1+ROW(A195)-$C$32)</f>
        <v/>
      </c>
      <c r="B195" t="str" cm="1">
        <f t="array" aca="1" ref="B195" ca="1">IF(OR(INDIRECT(C$26&amp;"!B"&amp;(ROW()-C$32+C$31))="",$C$1="M2"),"",1+ROW(B195)-C$32)</f>
        <v/>
      </c>
      <c r="C195" t="str" cm="1">
        <f t="array" aca="1" ref="C195" ca="1">IF(ROW()&gt;(C$33+C$32-C$31),"",GammaSelfNext(C$29,INDIRECT(C$26&amp;"!A"&amp;ROW()-C$32+C$31&amp;":F"&amp;ROW()-C$32+C$31),C194))</f>
        <v/>
      </c>
      <c r="D195" t="e">
        <f t="shared" ca="1" si="8"/>
        <v>#N/A</v>
      </c>
      <c r="E195" t="e">
        <f t="shared" ca="1" si="9"/>
        <v>#N/A</v>
      </c>
    </row>
    <row r="196" spans="1:5" x14ac:dyDescent="0.3">
      <c r="A196" t="str" cm="1">
        <f t="array" aca="1" ref="A196" ca="1">IF(OR(INDIRECT($C$26&amp;"!B"&amp;(ROW()-$C$32+$C$31))="",$C$1="M2"),"",1+ROW(A196)-$C$32)</f>
        <v/>
      </c>
      <c r="B196" t="str" cm="1">
        <f t="array" aca="1" ref="B196" ca="1">IF(OR(INDIRECT(C$26&amp;"!B"&amp;(ROW()-C$32+C$31))="",$C$1="M2"),"",1+ROW(B196)-C$32)</f>
        <v/>
      </c>
      <c r="C196" t="str" cm="1">
        <f t="array" aca="1" ref="C196" ca="1">IF(ROW()&gt;(C$33+C$32-C$31),"",GammaSelfNext(C$29,INDIRECT(C$26&amp;"!A"&amp;ROW()-C$32+C$31&amp;":F"&amp;ROW()-C$32+C$31),C195))</f>
        <v/>
      </c>
      <c r="D196" t="e">
        <f t="shared" ca="1" si="8"/>
        <v>#N/A</v>
      </c>
      <c r="E196" t="e">
        <f t="shared" ca="1" si="9"/>
        <v>#N/A</v>
      </c>
    </row>
    <row r="197" spans="1:5" x14ac:dyDescent="0.3">
      <c r="A197" t="str" cm="1">
        <f t="array" aca="1" ref="A197" ca="1">IF(OR(INDIRECT($C$26&amp;"!B"&amp;(ROW()-$C$32+$C$31))="",$C$1="M2"),"",1+ROW(A197)-$C$32)</f>
        <v/>
      </c>
      <c r="B197" t="str" cm="1">
        <f t="array" aca="1" ref="B197" ca="1">IF(OR(INDIRECT(C$26&amp;"!B"&amp;(ROW()-C$32+C$31))="",$C$1="M2"),"",1+ROW(B197)-C$32)</f>
        <v/>
      </c>
      <c r="C197" t="str" cm="1">
        <f t="array" aca="1" ref="C197" ca="1">IF(ROW()&gt;(C$33+C$32-C$31),"",GammaSelfNext(C$29,INDIRECT(C$26&amp;"!A"&amp;ROW()-C$32+C$31&amp;":F"&amp;ROW()-C$32+C$31),C196))</f>
        <v/>
      </c>
      <c r="D197" t="e">
        <f t="shared" ca="1" si="8"/>
        <v>#N/A</v>
      </c>
      <c r="E197" t="e">
        <f t="shared" ca="1" si="9"/>
        <v>#N/A</v>
      </c>
    </row>
    <row r="198" spans="1:5" x14ac:dyDescent="0.3">
      <c r="A198" t="str" cm="1">
        <f t="array" aca="1" ref="A198" ca="1">IF(OR(INDIRECT($C$26&amp;"!B"&amp;(ROW()-$C$32+$C$31))="",$C$1="M2"),"",1+ROW(A198)-$C$32)</f>
        <v/>
      </c>
      <c r="B198" t="str" cm="1">
        <f t="array" aca="1" ref="B198" ca="1">IF(OR(INDIRECT(C$26&amp;"!B"&amp;(ROW()-C$32+C$31))="",$C$1="M2"),"",1+ROW(B198)-C$32)</f>
        <v/>
      </c>
      <c r="C198" t="str" cm="1">
        <f t="array" aca="1" ref="C198" ca="1">IF(ROW()&gt;(C$33+C$32-C$31),"",GammaSelfNext(C$29,INDIRECT(C$26&amp;"!A"&amp;ROW()-C$32+C$31&amp;":F"&amp;ROW()-C$32+C$31),C197))</f>
        <v/>
      </c>
      <c r="D198" t="e">
        <f t="shared" ca="1" si="8"/>
        <v>#N/A</v>
      </c>
      <c r="E198" t="e">
        <f t="shared" ca="1" si="9"/>
        <v>#N/A</v>
      </c>
    </row>
    <row r="199" spans="1:5" x14ac:dyDescent="0.3">
      <c r="A199" t="str" cm="1">
        <f t="array" aca="1" ref="A199" ca="1">IF(OR(INDIRECT($C$26&amp;"!B"&amp;(ROW()-$C$32+$C$31))="",$C$1="M2"),"",1+ROW(A199)-$C$32)</f>
        <v/>
      </c>
      <c r="B199" t="str" cm="1">
        <f t="array" aca="1" ref="B199" ca="1">IF(OR(INDIRECT(C$26&amp;"!B"&amp;(ROW()-C$32+C$31))="",$C$1="M2"),"",1+ROW(B199)-C$32)</f>
        <v/>
      </c>
      <c r="C199" t="str" cm="1">
        <f t="array" aca="1" ref="C199" ca="1">IF(ROW()&gt;(C$33+C$32-C$31),"",GammaSelfNext(C$29,INDIRECT(C$26&amp;"!A"&amp;ROW()-C$32+C$31&amp;":F"&amp;ROW()-C$32+C$31),C198))</f>
        <v/>
      </c>
      <c r="D199" t="e">
        <f t="shared" ca="1" si="8"/>
        <v>#N/A</v>
      </c>
      <c r="E199" t="e">
        <f t="shared" ca="1" si="9"/>
        <v>#N/A</v>
      </c>
    </row>
    <row r="200" spans="1:5" x14ac:dyDescent="0.3">
      <c r="A200" t="str" cm="1">
        <f t="array" aca="1" ref="A200" ca="1">IF(OR(INDIRECT($C$26&amp;"!B"&amp;(ROW()-$C$32+$C$31))="",$C$1="M2"),"",1+ROW(A200)-$C$32)</f>
        <v/>
      </c>
      <c r="B200" t="str" cm="1">
        <f t="array" aca="1" ref="B200" ca="1">IF(OR(INDIRECT(C$26&amp;"!B"&amp;(ROW()-C$32+C$31))="",$C$1="M2"),"",1+ROW(B200)-C$32)</f>
        <v/>
      </c>
      <c r="C200" t="str" cm="1">
        <f t="array" aca="1" ref="C200" ca="1">IF(ROW()&gt;(C$33+C$32-C$31),"",GammaSelfNext(C$29,INDIRECT(C$26&amp;"!A"&amp;ROW()-C$32+C$31&amp;":F"&amp;ROW()-C$32+C$31),C199))</f>
        <v/>
      </c>
      <c r="D200" t="e">
        <f t="shared" ca="1" si="8"/>
        <v>#N/A</v>
      </c>
      <c r="E200" t="e">
        <f t="shared" ca="1" si="9"/>
        <v>#N/A</v>
      </c>
    </row>
    <row r="201" spans="1:5" x14ac:dyDescent="0.3">
      <c r="A201" t="str" cm="1">
        <f t="array" aca="1" ref="A201" ca="1">IF(OR(INDIRECT($C$26&amp;"!B"&amp;(ROW()-$C$32+$C$31))="",$C$1="M2"),"",1+ROW(A201)-$C$32)</f>
        <v/>
      </c>
      <c r="B201" t="str" cm="1">
        <f t="array" aca="1" ref="B201" ca="1">IF(OR(INDIRECT(C$26&amp;"!B"&amp;(ROW()-C$32+C$31))="",$C$1="M2"),"",1+ROW(B201)-C$32)</f>
        <v/>
      </c>
      <c r="C201" t="str" cm="1">
        <f t="array" aca="1" ref="C201" ca="1">IF(ROW()&gt;(C$33+C$32-C$31),"",GammaSelfNext(C$29,INDIRECT(C$26&amp;"!A"&amp;ROW()-C$32+C$31&amp;":F"&amp;ROW()-C$32+C$31),C200))</f>
        <v/>
      </c>
      <c r="D201" t="e">
        <f t="shared" ca="1" si="8"/>
        <v>#N/A</v>
      </c>
      <c r="E201" t="e">
        <f t="shared" ca="1" si="9"/>
        <v>#N/A</v>
      </c>
    </row>
    <row r="202" spans="1:5" x14ac:dyDescent="0.3">
      <c r="A202" t="str" cm="1">
        <f t="array" aca="1" ref="A202" ca="1">IF(OR(INDIRECT($C$26&amp;"!B"&amp;(ROW()-$C$32+$C$31))="",$C$1="M2"),"",1+ROW(A202)-$C$32)</f>
        <v/>
      </c>
      <c r="B202" t="str" cm="1">
        <f t="array" aca="1" ref="B202" ca="1">IF(OR(INDIRECT(C$26&amp;"!B"&amp;(ROW()-C$32+C$31))="",$C$1="M2"),"",1+ROW(B202)-C$32)</f>
        <v/>
      </c>
      <c r="C202" t="str" cm="1">
        <f t="array" aca="1" ref="C202" ca="1">IF(ROW()&gt;(C$33+C$32-C$31),"",GammaSelfNext(C$29,INDIRECT(C$26&amp;"!A"&amp;ROW()-C$32+C$31&amp;":F"&amp;ROW()-C$32+C$31),C201))</f>
        <v/>
      </c>
      <c r="D202" t="e">
        <f t="shared" ca="1" si="8"/>
        <v>#N/A</v>
      </c>
      <c r="E202" t="e">
        <f t="shared" ca="1" si="9"/>
        <v>#N/A</v>
      </c>
    </row>
    <row r="203" spans="1:5" x14ac:dyDescent="0.3">
      <c r="A203" t="str" cm="1">
        <f t="array" aca="1" ref="A203" ca="1">IF(OR(INDIRECT($C$26&amp;"!B"&amp;(ROW()-$C$32+$C$31))="",$C$1="M2"),"",1+ROW(A203)-$C$32)</f>
        <v/>
      </c>
      <c r="B203" t="str" cm="1">
        <f t="array" aca="1" ref="B203" ca="1">IF(OR(INDIRECT(C$26&amp;"!B"&amp;(ROW()-C$32+C$31))="",$C$1="M2"),"",1+ROW(B203)-C$32)</f>
        <v/>
      </c>
      <c r="C203" t="str" cm="1">
        <f t="array" aca="1" ref="C203" ca="1">IF(ROW()&gt;(C$33+C$32-C$31),"",GammaSelfNext(C$29,INDIRECT(C$26&amp;"!A"&amp;ROW()-C$32+C$31&amp;":F"&amp;ROW()-C$32+C$31),C202))</f>
        <v/>
      </c>
      <c r="D203" t="e">
        <f t="shared" ca="1" si="8"/>
        <v>#N/A</v>
      </c>
      <c r="E203" t="e">
        <f t="shared" ca="1" si="9"/>
        <v>#N/A</v>
      </c>
    </row>
    <row r="204" spans="1:5" x14ac:dyDescent="0.3">
      <c r="A204" t="str" cm="1">
        <f t="array" aca="1" ref="A204" ca="1">IF(OR(INDIRECT($C$26&amp;"!B"&amp;(ROW()-$C$32+$C$31))="",$C$1="M2"),"",1+ROW(A204)-$C$32)</f>
        <v/>
      </c>
      <c r="B204" t="str" cm="1">
        <f t="array" aca="1" ref="B204" ca="1">IF(OR(INDIRECT(C$26&amp;"!B"&amp;(ROW()-C$32+C$31))="",$C$1="M2"),"",1+ROW(B204)-C$32)</f>
        <v/>
      </c>
      <c r="C204" t="str" cm="1">
        <f t="array" aca="1" ref="C204" ca="1">IF(ROW()&gt;(C$33+C$32-C$31),"",GammaSelfNext(C$29,INDIRECT(C$26&amp;"!A"&amp;ROW()-C$32+C$31&amp;":F"&amp;ROW()-C$32+C$31),C203))</f>
        <v/>
      </c>
      <c r="D204" t="e">
        <f t="shared" ca="1" si="8"/>
        <v>#N/A</v>
      </c>
      <c r="E204" t="e">
        <f t="shared" ca="1" si="9"/>
        <v>#N/A</v>
      </c>
    </row>
    <row r="205" spans="1:5" x14ac:dyDescent="0.3">
      <c r="A205" t="str" cm="1">
        <f t="array" aca="1" ref="A205" ca="1">IF(OR(INDIRECT($C$26&amp;"!B"&amp;(ROW()-$C$32+$C$31))="",$C$1="M2"),"",1+ROW(A205)-$C$32)</f>
        <v/>
      </c>
      <c r="B205" t="str" cm="1">
        <f t="array" aca="1" ref="B205" ca="1">IF(OR(INDIRECT(C$26&amp;"!B"&amp;(ROW()-C$32+C$31))="",$C$1="M2"),"",1+ROW(B205)-C$32)</f>
        <v/>
      </c>
      <c r="C205" t="str" cm="1">
        <f t="array" aca="1" ref="C205" ca="1">IF(ROW()&gt;(C$33+C$32-C$31),"",GammaSelfNext(C$29,INDIRECT(C$26&amp;"!A"&amp;ROW()-C$32+C$31&amp;":F"&amp;ROW()-C$32+C$31),C204))</f>
        <v/>
      </c>
      <c r="D205" t="e">
        <f t="shared" ca="1" si="8"/>
        <v>#N/A</v>
      </c>
      <c r="E205" t="e">
        <f t="shared" ca="1" si="9"/>
        <v>#N/A</v>
      </c>
    </row>
    <row r="206" spans="1:5" x14ac:dyDescent="0.3">
      <c r="A206" t="str" cm="1">
        <f t="array" aca="1" ref="A206" ca="1">IF(OR(INDIRECT($C$26&amp;"!B"&amp;(ROW()-$C$32+$C$31))="",$C$1="M2"),"",1+ROW(A206)-$C$32)</f>
        <v/>
      </c>
      <c r="B206" t="str" cm="1">
        <f t="array" aca="1" ref="B206" ca="1">IF(OR(INDIRECT(C$26&amp;"!B"&amp;(ROW()-C$32+C$31))="",$C$1="M2"),"",1+ROW(B206)-C$32)</f>
        <v/>
      </c>
      <c r="C206" t="str" cm="1">
        <f t="array" aca="1" ref="C206" ca="1">IF(ROW()&gt;(C$33+C$32-C$31),"",GammaSelfNext(C$29,INDIRECT(C$26&amp;"!A"&amp;ROW()-C$32+C$31&amp;":F"&amp;ROW()-C$32+C$31),C205))</f>
        <v/>
      </c>
      <c r="D206" t="e">
        <f t="shared" ca="1" si="8"/>
        <v>#N/A</v>
      </c>
      <c r="E206" t="e">
        <f t="shared" ca="1" si="9"/>
        <v>#N/A</v>
      </c>
    </row>
    <row r="207" spans="1:5" x14ac:dyDescent="0.3">
      <c r="A207" t="str" cm="1">
        <f t="array" aca="1" ref="A207" ca="1">IF(OR(INDIRECT($C$26&amp;"!B"&amp;(ROW()-$C$32+$C$31))="",$C$1="M2"),"",1+ROW(A207)-$C$32)</f>
        <v/>
      </c>
      <c r="B207" t="str" cm="1">
        <f t="array" aca="1" ref="B207" ca="1">IF(OR(INDIRECT(C$26&amp;"!B"&amp;(ROW()-C$32+C$31))="",$C$1="M2"),"",1+ROW(B207)-C$32)</f>
        <v/>
      </c>
      <c r="C207" t="str" cm="1">
        <f t="array" aca="1" ref="C207" ca="1">IF(ROW()&gt;(C$33+C$32-C$31),"",GammaSelfNext(C$29,INDIRECT(C$26&amp;"!A"&amp;ROW()-C$32+C$31&amp;":F"&amp;ROW()-C$32+C$31),C206))</f>
        <v/>
      </c>
      <c r="D207" t="e">
        <f t="shared" ca="1" si="8"/>
        <v>#N/A</v>
      </c>
      <c r="E207" t="e">
        <f t="shared" ca="1" si="9"/>
        <v>#N/A</v>
      </c>
    </row>
    <row r="208" spans="1:5" x14ac:dyDescent="0.3">
      <c r="A208" t="str" cm="1">
        <f t="array" aca="1" ref="A208" ca="1">IF(OR(INDIRECT($C$26&amp;"!B"&amp;(ROW()-$C$32+$C$31))="",$C$1="M2"),"",1+ROW(A208)-$C$32)</f>
        <v/>
      </c>
      <c r="B208" t="str" cm="1">
        <f t="array" aca="1" ref="B208" ca="1">IF(OR(INDIRECT(C$26&amp;"!B"&amp;(ROW()-C$32+C$31))="",$C$1="M2"),"",1+ROW(B208)-C$32)</f>
        <v/>
      </c>
      <c r="C208" t="str" cm="1">
        <f t="array" aca="1" ref="C208" ca="1">IF(ROW()&gt;(C$33+C$32-C$31),"",GammaSelfNext(C$29,INDIRECT(C$26&amp;"!A"&amp;ROW()-C$32+C$31&amp;":F"&amp;ROW()-C$32+C$31),C207))</f>
        <v/>
      </c>
      <c r="D208" t="e">
        <f t="shared" ca="1" si="8"/>
        <v>#N/A</v>
      </c>
      <c r="E208" t="e">
        <f t="shared" ca="1" si="9"/>
        <v>#N/A</v>
      </c>
    </row>
    <row r="209" spans="1:5" x14ac:dyDescent="0.3">
      <c r="A209" t="str" cm="1">
        <f t="array" aca="1" ref="A209" ca="1">IF(OR(INDIRECT($C$26&amp;"!B"&amp;(ROW()-$C$32+$C$31))="",$C$1="M2"),"",1+ROW(A209)-$C$32)</f>
        <v/>
      </c>
      <c r="B209" t="str" cm="1">
        <f t="array" aca="1" ref="B209" ca="1">IF(OR(INDIRECT(C$26&amp;"!B"&amp;(ROW()-C$32+C$31))="",$C$1="M2"),"",1+ROW(B209)-C$32)</f>
        <v/>
      </c>
      <c r="C209" t="str" cm="1">
        <f t="array" aca="1" ref="C209" ca="1">IF(ROW()&gt;(C$33+C$32-C$31),"",GammaSelfNext(C$29,INDIRECT(C$26&amp;"!A"&amp;ROW()-C$32+C$31&amp;":F"&amp;ROW()-C$32+C$31),C208))</f>
        <v/>
      </c>
      <c r="D209" t="e">
        <f t="shared" ca="1" si="8"/>
        <v>#N/A</v>
      </c>
      <c r="E209" t="e">
        <f t="shared" ca="1" si="9"/>
        <v>#N/A</v>
      </c>
    </row>
    <row r="210" spans="1:5" x14ac:dyDescent="0.3">
      <c r="A210" t="str" cm="1">
        <f t="array" aca="1" ref="A210" ca="1">IF(OR(INDIRECT($C$26&amp;"!B"&amp;(ROW()-$C$32+$C$31))="",$C$1="M2"),"",1+ROW(A210)-$C$32)</f>
        <v/>
      </c>
      <c r="B210" t="str" cm="1">
        <f t="array" aca="1" ref="B210" ca="1">IF(OR(INDIRECT(C$26&amp;"!B"&amp;(ROW()-C$32+C$31))="",$C$1="M2"),"",1+ROW(B210)-C$32)</f>
        <v/>
      </c>
      <c r="C210" t="str" cm="1">
        <f t="array" aca="1" ref="C210" ca="1">IF(ROW()&gt;(C$33+C$32-C$31),"",GammaSelfNext(C$29,INDIRECT(C$26&amp;"!A"&amp;ROW()-C$32+C$31&amp;":F"&amp;ROW()-C$32+C$31),C209))</f>
        <v/>
      </c>
      <c r="D210" t="e">
        <f t="shared" ca="1" si="8"/>
        <v>#N/A</v>
      </c>
      <c r="E210" t="e">
        <f t="shared" ca="1" si="9"/>
        <v>#N/A</v>
      </c>
    </row>
    <row r="211" spans="1:5" x14ac:dyDescent="0.3">
      <c r="A211" t="str" cm="1">
        <f t="array" aca="1" ref="A211" ca="1">IF(OR(INDIRECT($C$26&amp;"!B"&amp;(ROW()-$C$32+$C$31))="",$C$1="M2"),"",1+ROW(A211)-$C$32)</f>
        <v/>
      </c>
      <c r="B211" t="str" cm="1">
        <f t="array" aca="1" ref="B211" ca="1">IF(OR(INDIRECT(C$26&amp;"!B"&amp;(ROW()-C$32+C$31))="",$C$1="M2"),"",1+ROW(B211)-C$32)</f>
        <v/>
      </c>
      <c r="C211" t="str" cm="1">
        <f t="array" aca="1" ref="C211" ca="1">IF(ROW()&gt;(C$33+C$32-C$31),"",GammaSelfNext(C$29,INDIRECT(C$26&amp;"!A"&amp;ROW()-C$32+C$31&amp;":F"&amp;ROW()-C$32+C$31),C210))</f>
        <v/>
      </c>
      <c r="D211" t="e">
        <f t="shared" ca="1" si="8"/>
        <v>#N/A</v>
      </c>
      <c r="E211" t="e">
        <f t="shared" ca="1" si="9"/>
        <v>#N/A</v>
      </c>
    </row>
    <row r="212" spans="1:5" x14ac:dyDescent="0.3">
      <c r="A212" t="str" cm="1">
        <f t="array" aca="1" ref="A212" ca="1">IF(OR(INDIRECT($C$26&amp;"!B"&amp;(ROW()-$C$32+$C$31))="",$C$1="M2"),"",1+ROW(A212)-$C$32)</f>
        <v/>
      </c>
      <c r="B212" t="str" cm="1">
        <f t="array" aca="1" ref="B212" ca="1">IF(OR(INDIRECT(C$26&amp;"!B"&amp;(ROW()-C$32+C$31))="",$C$1="M2"),"",1+ROW(B212)-C$32)</f>
        <v/>
      </c>
      <c r="C212" t="str" cm="1">
        <f t="array" aca="1" ref="C212" ca="1">IF(ROW()&gt;(C$33+C$32-C$31),"",GammaSelfNext(C$29,INDIRECT(C$26&amp;"!A"&amp;ROW()-C$32+C$31&amp;":F"&amp;ROW()-C$32+C$31),C211))</f>
        <v/>
      </c>
      <c r="D212" t="e">
        <f t="shared" ca="1" si="8"/>
        <v>#N/A</v>
      </c>
      <c r="E212" t="e">
        <f t="shared" ca="1" si="9"/>
        <v>#N/A</v>
      </c>
    </row>
    <row r="213" spans="1:5" x14ac:dyDescent="0.3">
      <c r="A213" t="str" cm="1">
        <f t="array" aca="1" ref="A213" ca="1">IF(OR(INDIRECT($C$26&amp;"!B"&amp;(ROW()-$C$32+$C$31))="",$C$1="M2"),"",1+ROW(A213)-$C$32)</f>
        <v/>
      </c>
      <c r="B213" t="str" cm="1">
        <f t="array" aca="1" ref="B213" ca="1">IF(OR(INDIRECT(C$26&amp;"!B"&amp;(ROW()-C$32+C$31))="",$C$1="M2"),"",1+ROW(B213)-C$32)</f>
        <v/>
      </c>
      <c r="C213" t="str" cm="1">
        <f t="array" aca="1" ref="C213" ca="1">IF(ROW()&gt;(C$33+C$32-C$31),"",GammaSelfNext(C$29,INDIRECT(C$26&amp;"!A"&amp;ROW()-C$32+C$31&amp;":F"&amp;ROW()-C$32+C$31),C212))</f>
        <v/>
      </c>
      <c r="D213" t="e">
        <f t="shared" ca="1" si="8"/>
        <v>#N/A</v>
      </c>
      <c r="E213" t="e">
        <f t="shared" ca="1" si="9"/>
        <v>#N/A</v>
      </c>
    </row>
    <row r="214" spans="1:5" x14ac:dyDescent="0.3">
      <c r="A214" t="str" cm="1">
        <f t="array" aca="1" ref="A214" ca="1">IF(OR(INDIRECT($C$26&amp;"!B"&amp;(ROW()-$C$32+$C$31))="",$C$1="M2"),"",1+ROW(A214)-$C$32)</f>
        <v/>
      </c>
      <c r="B214" t="str" cm="1">
        <f t="array" aca="1" ref="B214" ca="1">IF(OR(INDIRECT(C$26&amp;"!B"&amp;(ROW()-C$32+C$31))="",$C$1="M2"),"",1+ROW(B214)-C$32)</f>
        <v/>
      </c>
      <c r="C214" t="str" cm="1">
        <f t="array" aca="1" ref="C214" ca="1">IF(ROW()&gt;(C$33+C$32-C$31),"",GammaSelfNext(C$29,INDIRECT(C$26&amp;"!A"&amp;ROW()-C$32+C$31&amp;":F"&amp;ROW()-C$32+C$31),C213))</f>
        <v/>
      </c>
      <c r="D214" t="e">
        <f t="shared" ca="1" si="8"/>
        <v>#N/A</v>
      </c>
      <c r="E214" t="e">
        <f t="shared" ca="1" si="9"/>
        <v>#N/A</v>
      </c>
    </row>
    <row r="215" spans="1:5" x14ac:dyDescent="0.3">
      <c r="A215" t="str" cm="1">
        <f t="array" aca="1" ref="A215" ca="1">IF(OR(INDIRECT($C$26&amp;"!B"&amp;(ROW()-$C$32+$C$31))="",$C$1="M2"),"",1+ROW(A215)-$C$32)</f>
        <v/>
      </c>
      <c r="B215" t="str" cm="1">
        <f t="array" aca="1" ref="B215" ca="1">IF(OR(INDIRECT(C$26&amp;"!B"&amp;(ROW()-C$32+C$31))="",$C$1="M2"),"",1+ROW(B215)-C$32)</f>
        <v/>
      </c>
      <c r="C215" t="str" cm="1">
        <f t="array" aca="1" ref="C215" ca="1">IF(ROW()&gt;(C$33+C$32-C$31),"",GammaSelfNext(C$29,INDIRECT(C$26&amp;"!A"&amp;ROW()-C$32+C$31&amp;":F"&amp;ROW()-C$32+C$31),C214))</f>
        <v/>
      </c>
      <c r="D215" t="e">
        <f t="shared" ca="1" si="8"/>
        <v>#N/A</v>
      </c>
      <c r="E215" t="e">
        <f t="shared" ca="1" si="9"/>
        <v>#N/A</v>
      </c>
    </row>
    <row r="216" spans="1:5" x14ac:dyDescent="0.3">
      <c r="A216" t="str" cm="1">
        <f t="array" aca="1" ref="A216" ca="1">IF(OR(INDIRECT($C$26&amp;"!B"&amp;(ROW()-$C$32+$C$31))="",$C$1="M2"),"",1+ROW(A216)-$C$32)</f>
        <v/>
      </c>
      <c r="B216" t="str" cm="1">
        <f t="array" aca="1" ref="B216" ca="1">IF(OR(INDIRECT(C$26&amp;"!B"&amp;(ROW()-C$32+C$31))="",$C$1="M2"),"",1+ROW(B216)-C$32)</f>
        <v/>
      </c>
      <c r="C216" t="str" cm="1">
        <f t="array" aca="1" ref="C216" ca="1">IF(ROW()&gt;(C$33+C$32-C$31),"",GammaSelfNext(C$29,INDIRECT(C$26&amp;"!A"&amp;ROW()-C$32+C$31&amp;":F"&amp;ROW()-C$32+C$31),C215))</f>
        <v/>
      </c>
      <c r="D216" t="e">
        <f t="shared" ca="1" si="8"/>
        <v>#N/A</v>
      </c>
      <c r="E216" t="e">
        <f t="shared" ca="1" si="9"/>
        <v>#N/A</v>
      </c>
    </row>
    <row r="217" spans="1:5" x14ac:dyDescent="0.3">
      <c r="A217" t="str" cm="1">
        <f t="array" aca="1" ref="A217" ca="1">IF(OR(INDIRECT($C$26&amp;"!B"&amp;(ROW()-$C$32+$C$31))="",$C$1="M2"),"",1+ROW(A217)-$C$32)</f>
        <v/>
      </c>
      <c r="B217" t="str" cm="1">
        <f t="array" aca="1" ref="B217" ca="1">IF(OR(INDIRECT(C$26&amp;"!B"&amp;(ROW()-C$32+C$31))="",$C$1="M2"),"",1+ROW(B217)-C$32)</f>
        <v/>
      </c>
      <c r="C217" t="str" cm="1">
        <f t="array" aca="1" ref="C217" ca="1">IF(ROW()&gt;(C$33+C$32-C$31),"",GammaSelfNext(C$29,INDIRECT(C$26&amp;"!A"&amp;ROW()-C$32+C$31&amp;":F"&amp;ROW()-C$32+C$31),C216))</f>
        <v/>
      </c>
      <c r="D217" t="e">
        <f t="shared" ca="1" si="8"/>
        <v>#N/A</v>
      </c>
      <c r="E217" t="e">
        <f t="shared" ca="1" si="9"/>
        <v>#N/A</v>
      </c>
    </row>
    <row r="218" spans="1:5" x14ac:dyDescent="0.3">
      <c r="A218" t="str" cm="1">
        <f t="array" aca="1" ref="A218" ca="1">IF(OR(INDIRECT($C$26&amp;"!B"&amp;(ROW()-$C$32+$C$31))="",$C$1="M2"),"",1+ROW(A218)-$C$32)</f>
        <v/>
      </c>
      <c r="B218" t="str" cm="1">
        <f t="array" aca="1" ref="B218" ca="1">IF(OR(INDIRECT(C$26&amp;"!B"&amp;(ROW()-C$32+C$31))="",$C$1="M2"),"",1+ROW(B218)-C$32)</f>
        <v/>
      </c>
      <c r="C218" t="str" cm="1">
        <f t="array" aca="1" ref="C218" ca="1">IF(ROW()&gt;(C$33+C$32-C$31),"",GammaSelfNext(C$29,INDIRECT(C$26&amp;"!A"&amp;ROW()-C$32+C$31&amp;":F"&amp;ROW()-C$32+C$31),C217))</f>
        <v/>
      </c>
      <c r="D218" t="e">
        <f t="shared" ca="1" si="8"/>
        <v>#N/A</v>
      </c>
      <c r="E218" t="e">
        <f t="shared" ca="1" si="9"/>
        <v>#N/A</v>
      </c>
    </row>
    <row r="219" spans="1:5" x14ac:dyDescent="0.3">
      <c r="A219" t="str" cm="1">
        <f t="array" aca="1" ref="A219" ca="1">IF(OR(INDIRECT($C$26&amp;"!B"&amp;(ROW()-$C$32+$C$31))="",$C$1="M2"),"",1+ROW(A219)-$C$32)</f>
        <v/>
      </c>
      <c r="B219" t="str" cm="1">
        <f t="array" aca="1" ref="B219" ca="1">IF(OR(INDIRECT(C$26&amp;"!B"&amp;(ROW()-C$32+C$31))="",$C$1="M2"),"",1+ROW(B219)-C$32)</f>
        <v/>
      </c>
      <c r="C219" t="str" cm="1">
        <f t="array" aca="1" ref="C219" ca="1">IF(ROW()&gt;(C$33+C$32-C$31),"",GammaSelfNext(C$29,INDIRECT(C$26&amp;"!A"&amp;ROW()-C$32+C$31&amp;":F"&amp;ROW()-C$32+C$31),C218))</f>
        <v/>
      </c>
      <c r="D219" t="e">
        <f t="shared" ca="1" si="8"/>
        <v>#N/A</v>
      </c>
      <c r="E219" t="e">
        <f t="shared" ca="1" si="9"/>
        <v>#N/A</v>
      </c>
    </row>
    <row r="220" spans="1:5" x14ac:dyDescent="0.3">
      <c r="A220" t="str" cm="1">
        <f t="array" aca="1" ref="A220" ca="1">IF(OR(INDIRECT($C$26&amp;"!B"&amp;(ROW()-$C$32+$C$31))="",$C$1="M2"),"",1+ROW(A220)-$C$32)</f>
        <v/>
      </c>
      <c r="B220" t="str" cm="1">
        <f t="array" aca="1" ref="B220" ca="1">IF(OR(INDIRECT(C$26&amp;"!B"&amp;(ROW()-C$32+C$31))="",$C$1="M2"),"",1+ROW(B220)-C$32)</f>
        <v/>
      </c>
      <c r="C220" t="str" cm="1">
        <f t="array" aca="1" ref="C220" ca="1">IF(ROW()&gt;(C$33+C$32-C$31),"",GammaSelfNext(C$29,INDIRECT(C$26&amp;"!A"&amp;ROW()-C$32+C$31&amp;":F"&amp;ROW()-C$32+C$31),C219))</f>
        <v/>
      </c>
      <c r="D220" t="e">
        <f t="shared" ca="1" si="8"/>
        <v>#N/A</v>
      </c>
      <c r="E220" t="e">
        <f t="shared" ca="1" si="9"/>
        <v>#N/A</v>
      </c>
    </row>
    <row r="221" spans="1:5" x14ac:dyDescent="0.3">
      <c r="A221" t="str" cm="1">
        <f t="array" aca="1" ref="A221" ca="1">IF(OR(INDIRECT($C$26&amp;"!B"&amp;(ROW()-$C$32+$C$31))="",$C$1="M2"),"",1+ROW(A221)-$C$32)</f>
        <v/>
      </c>
      <c r="B221" t="str" cm="1">
        <f t="array" aca="1" ref="B221" ca="1">IF(OR(INDIRECT(C$26&amp;"!B"&amp;(ROW()-C$32+C$31))="",$C$1="M2"),"",1+ROW(B221)-C$32)</f>
        <v/>
      </c>
      <c r="C221" t="str" cm="1">
        <f t="array" aca="1" ref="C221" ca="1">IF(ROW()&gt;(C$33+C$32-C$31),"",GammaSelfNext(C$29,INDIRECT(C$26&amp;"!A"&amp;ROW()-C$32+C$31&amp;":F"&amp;ROW()-C$32+C$31),C220))</f>
        <v/>
      </c>
      <c r="D221" t="e">
        <f t="shared" ca="1" si="8"/>
        <v>#N/A</v>
      </c>
      <c r="E221" t="e">
        <f t="shared" ca="1" si="9"/>
        <v>#N/A</v>
      </c>
    </row>
    <row r="222" spans="1:5" x14ac:dyDescent="0.3">
      <c r="A222" t="str" cm="1">
        <f t="array" aca="1" ref="A222" ca="1">IF(OR(INDIRECT($C$26&amp;"!B"&amp;(ROW()-$C$32+$C$31))="",$C$1="M2"),"",1+ROW(A222)-$C$32)</f>
        <v/>
      </c>
      <c r="B222" t="str" cm="1">
        <f t="array" aca="1" ref="B222" ca="1">IF(OR(INDIRECT(C$26&amp;"!B"&amp;(ROW()-C$32+C$31))="",$C$1="M2"),"",1+ROW(B222)-C$32)</f>
        <v/>
      </c>
      <c r="C222" t="str" cm="1">
        <f t="array" aca="1" ref="C222" ca="1">IF(ROW()&gt;(C$33+C$32-C$31),"",GammaSelfNext(C$29,INDIRECT(C$26&amp;"!A"&amp;ROW()-C$32+C$31&amp;":F"&amp;ROW()-C$32+C$31),C221))</f>
        <v/>
      </c>
      <c r="D222" t="e">
        <f t="shared" ca="1" si="8"/>
        <v>#N/A</v>
      </c>
      <c r="E222" t="e">
        <f t="shared" ca="1" si="9"/>
        <v>#N/A</v>
      </c>
    </row>
    <row r="223" spans="1:5" x14ac:dyDescent="0.3">
      <c r="A223" t="str" cm="1">
        <f t="array" aca="1" ref="A223" ca="1">IF(OR(INDIRECT($C$26&amp;"!B"&amp;(ROW()-$C$32+$C$31))="",$C$1="M2"),"",1+ROW(A223)-$C$32)</f>
        <v/>
      </c>
      <c r="B223" t="str" cm="1">
        <f t="array" aca="1" ref="B223" ca="1">IF(OR(INDIRECT(C$26&amp;"!B"&amp;(ROW()-C$32+C$31))="",$C$1="M2"),"",1+ROW(B223)-C$32)</f>
        <v/>
      </c>
      <c r="C223" t="str" cm="1">
        <f t="array" aca="1" ref="C223" ca="1">IF(ROW()&gt;(C$33+C$32-C$31),"",GammaSelfNext(C$29,INDIRECT(C$26&amp;"!A"&amp;ROW()-C$32+C$31&amp;":F"&amp;ROW()-C$32+C$31),C222))</f>
        <v/>
      </c>
      <c r="D223" t="e">
        <f t="shared" ca="1" si="8"/>
        <v>#N/A</v>
      </c>
      <c r="E223" t="e">
        <f t="shared" ca="1" si="9"/>
        <v>#N/A</v>
      </c>
    </row>
    <row r="224" spans="1:5" x14ac:dyDescent="0.3">
      <c r="A224" t="str" cm="1">
        <f t="array" aca="1" ref="A224" ca="1">IF(OR(INDIRECT($C$26&amp;"!B"&amp;(ROW()-$C$32+$C$31))="",$C$1="M2"),"",1+ROW(A224)-$C$32)</f>
        <v/>
      </c>
      <c r="B224" t="str" cm="1">
        <f t="array" aca="1" ref="B224" ca="1">IF(OR(INDIRECT(C$26&amp;"!B"&amp;(ROW()-C$32+C$31))="",$C$1="M2"),"",1+ROW(B224)-C$32)</f>
        <v/>
      </c>
      <c r="C224" t="str" cm="1">
        <f t="array" aca="1" ref="C224" ca="1">IF(ROW()&gt;(C$33+C$32-C$31),"",GammaSelfNext(C$29,INDIRECT(C$26&amp;"!A"&amp;ROW()-C$32+C$31&amp;":F"&amp;ROW()-C$32+C$31),C223))</f>
        <v/>
      </c>
      <c r="D224" t="e">
        <f t="shared" ca="1" si="8"/>
        <v>#N/A</v>
      </c>
      <c r="E224" t="e">
        <f t="shared" ca="1" si="9"/>
        <v>#N/A</v>
      </c>
    </row>
    <row r="225" spans="1:5" x14ac:dyDescent="0.3">
      <c r="A225" t="str" cm="1">
        <f t="array" aca="1" ref="A225" ca="1">IF(OR(INDIRECT($C$26&amp;"!B"&amp;(ROW()-$C$32+$C$31))="",$C$1="M2"),"",1+ROW(A225)-$C$32)</f>
        <v/>
      </c>
      <c r="B225" t="str" cm="1">
        <f t="array" aca="1" ref="B225" ca="1">IF(OR(INDIRECT(C$26&amp;"!B"&amp;(ROW()-C$32+C$31))="",$C$1="M2"),"",1+ROW(B225)-C$32)</f>
        <v/>
      </c>
      <c r="C225" t="str" cm="1">
        <f t="array" aca="1" ref="C225" ca="1">IF(ROW()&gt;(C$33+C$32-C$31),"",GammaSelfNext(C$29,INDIRECT(C$26&amp;"!A"&amp;ROW()-C$32+C$31&amp;":F"&amp;ROW()-C$32+C$31),C224))</f>
        <v/>
      </c>
      <c r="D225" t="e">
        <f t="shared" ca="1" si="8"/>
        <v>#N/A</v>
      </c>
      <c r="E225" t="e">
        <f t="shared" ca="1" si="9"/>
        <v>#N/A</v>
      </c>
    </row>
    <row r="226" spans="1:5" x14ac:dyDescent="0.3">
      <c r="A226" t="str" cm="1">
        <f t="array" aca="1" ref="A226" ca="1">IF(OR(INDIRECT($C$26&amp;"!B"&amp;(ROW()-$C$32+$C$31))="",$C$1="M2"),"",1+ROW(A226)-$C$32)</f>
        <v/>
      </c>
      <c r="B226" t="str" cm="1">
        <f t="array" aca="1" ref="B226" ca="1">IF(OR(INDIRECT(C$26&amp;"!B"&amp;(ROW()-C$32+C$31))="",$C$1="M2"),"",1+ROW(B226)-C$32)</f>
        <v/>
      </c>
      <c r="C226" t="str" cm="1">
        <f t="array" aca="1" ref="C226" ca="1">IF(ROW()&gt;(C$33+C$32-C$31),"",GammaSelfNext(C$29,INDIRECT(C$26&amp;"!A"&amp;ROW()-C$32+C$31&amp;":F"&amp;ROW()-C$32+C$31),C225))</f>
        <v/>
      </c>
      <c r="D226" t="e">
        <f t="shared" ca="1" si="8"/>
        <v>#N/A</v>
      </c>
      <c r="E226" t="e">
        <f t="shared" ca="1" si="9"/>
        <v>#N/A</v>
      </c>
    </row>
    <row r="227" spans="1:5" x14ac:dyDescent="0.3">
      <c r="A227" t="str" cm="1">
        <f t="array" aca="1" ref="A227" ca="1">IF(OR(INDIRECT($C$26&amp;"!B"&amp;(ROW()-$C$32+$C$31))="",$C$1="M2"),"",1+ROW(A227)-$C$32)</f>
        <v/>
      </c>
      <c r="B227" t="str" cm="1">
        <f t="array" aca="1" ref="B227" ca="1">IF(OR(INDIRECT(C$26&amp;"!B"&amp;(ROW()-C$32+C$31))="",$C$1="M2"),"",1+ROW(B227)-C$32)</f>
        <v/>
      </c>
      <c r="C227" t="str" cm="1">
        <f t="array" aca="1" ref="C227" ca="1">IF(ROW()&gt;(C$33+C$32-C$31),"",GammaSelfNext(C$29,INDIRECT(C$26&amp;"!A"&amp;ROW()-C$32+C$31&amp;":F"&amp;ROW()-C$32+C$31),C226))</f>
        <v/>
      </c>
      <c r="D227" t="e">
        <f t="shared" ca="1" si="8"/>
        <v>#N/A</v>
      </c>
      <c r="E227" t="e">
        <f t="shared" ca="1" si="9"/>
        <v>#N/A</v>
      </c>
    </row>
    <row r="228" spans="1:5" x14ac:dyDescent="0.3">
      <c r="A228" t="str" cm="1">
        <f t="array" aca="1" ref="A228" ca="1">IF(OR(INDIRECT($C$26&amp;"!B"&amp;(ROW()-$C$32+$C$31))="",$C$1="M2"),"",1+ROW(A228)-$C$32)</f>
        <v/>
      </c>
      <c r="B228" t="str" cm="1">
        <f t="array" aca="1" ref="B228" ca="1">IF(OR(INDIRECT(C$26&amp;"!B"&amp;(ROW()-C$32+C$31))="",$C$1="M2"),"",1+ROW(B228)-C$32)</f>
        <v/>
      </c>
      <c r="C228" t="str" cm="1">
        <f t="array" aca="1" ref="C228" ca="1">IF(ROW()&gt;(C$33+C$32-C$31),"",GammaSelfNext(C$29,INDIRECT(C$26&amp;"!A"&amp;ROW()-C$32+C$31&amp;":F"&amp;ROW()-C$32+C$31),C227))</f>
        <v/>
      </c>
      <c r="D228" t="e">
        <f t="shared" ca="1" si="8"/>
        <v>#N/A</v>
      </c>
      <c r="E228" t="e">
        <f t="shared" ca="1" si="9"/>
        <v>#N/A</v>
      </c>
    </row>
    <row r="229" spans="1:5" x14ac:dyDescent="0.3">
      <c r="A229" t="str" cm="1">
        <f t="array" aca="1" ref="A229" ca="1">IF(OR(INDIRECT($C$26&amp;"!B"&amp;(ROW()-$C$32+$C$31))="",$C$1="M2"),"",1+ROW(A229)-$C$32)</f>
        <v/>
      </c>
      <c r="B229" t="str" cm="1">
        <f t="array" aca="1" ref="B229" ca="1">IF(OR(INDIRECT(C$26&amp;"!B"&amp;(ROW()-C$32+C$31))="",$C$1="M2"),"",1+ROW(B229)-C$32)</f>
        <v/>
      </c>
      <c r="C229" t="str" cm="1">
        <f t="array" aca="1" ref="C229" ca="1">IF(ROW()&gt;(C$33+C$32-C$31),"",GammaSelfNext(C$29,INDIRECT(C$26&amp;"!A"&amp;ROW()-C$32+C$31&amp;":F"&amp;ROW()-C$32+C$31),C228))</f>
        <v/>
      </c>
      <c r="D229" t="e">
        <f t="shared" ca="1" si="8"/>
        <v>#N/A</v>
      </c>
      <c r="E229" t="e">
        <f t="shared" ca="1" si="9"/>
        <v>#N/A</v>
      </c>
    </row>
    <row r="230" spans="1:5" x14ac:dyDescent="0.3">
      <c r="A230" t="str" cm="1">
        <f t="array" aca="1" ref="A230" ca="1">IF(OR(INDIRECT($C$26&amp;"!B"&amp;(ROW()-$C$32+$C$31))="",$C$1="M2"),"",1+ROW(A230)-$C$32)</f>
        <v/>
      </c>
      <c r="B230" t="str" cm="1">
        <f t="array" aca="1" ref="B230" ca="1">IF(OR(INDIRECT(C$26&amp;"!B"&amp;(ROW()-C$32+C$31))="",$C$1="M2"),"",1+ROW(B230)-C$32)</f>
        <v/>
      </c>
      <c r="C230" t="str" cm="1">
        <f t="array" aca="1" ref="C230" ca="1">IF(ROW()&gt;(C$33+C$32-C$31),"",GammaSelfNext(C$29,INDIRECT(C$26&amp;"!A"&amp;ROW()-C$32+C$31&amp;":F"&amp;ROW()-C$32+C$31),C229))</f>
        <v/>
      </c>
      <c r="D230" t="e">
        <f t="shared" ca="1" si="8"/>
        <v>#N/A</v>
      </c>
      <c r="E230" t="e">
        <f t="shared" ca="1" si="9"/>
        <v>#N/A</v>
      </c>
    </row>
    <row r="231" spans="1:5" x14ac:dyDescent="0.3">
      <c r="A231" t="str" cm="1">
        <f t="array" aca="1" ref="A231" ca="1">IF(OR(INDIRECT($C$26&amp;"!B"&amp;(ROW()-$C$32+$C$31))="",$C$1="M2"),"",1+ROW(A231)-$C$32)</f>
        <v/>
      </c>
      <c r="B231" t="str" cm="1">
        <f t="array" aca="1" ref="B231" ca="1">IF(OR(INDIRECT(C$26&amp;"!B"&amp;(ROW()-C$32+C$31))="",$C$1="M2"),"",1+ROW(B231)-C$32)</f>
        <v/>
      </c>
      <c r="C231" t="str" cm="1">
        <f t="array" aca="1" ref="C231" ca="1">IF(ROW()&gt;(C$33+C$32-C$31),"",GammaSelfNext(C$29,INDIRECT(C$26&amp;"!A"&amp;ROW()-C$32+C$31&amp;":F"&amp;ROW()-C$32+C$31),C230))</f>
        <v/>
      </c>
      <c r="D231" t="e">
        <f t="shared" ca="1" si="8"/>
        <v>#N/A</v>
      </c>
      <c r="E231" t="e">
        <f t="shared" ca="1" si="9"/>
        <v>#N/A</v>
      </c>
    </row>
    <row r="232" spans="1:5" x14ac:dyDescent="0.3">
      <c r="A232" t="str" cm="1">
        <f t="array" aca="1" ref="A232" ca="1">IF(OR(INDIRECT($C$26&amp;"!B"&amp;(ROW()-$C$32+$C$31))="",$C$1="M2"),"",1+ROW(A232)-$C$32)</f>
        <v/>
      </c>
      <c r="B232" t="str" cm="1">
        <f t="array" aca="1" ref="B232" ca="1">IF(OR(INDIRECT(C$26&amp;"!B"&amp;(ROW()-C$32+C$31))="",$C$1="M2"),"",1+ROW(B232)-C$32)</f>
        <v/>
      </c>
      <c r="C232" t="str" cm="1">
        <f t="array" aca="1" ref="C232" ca="1">IF(ROW()&gt;(C$33+C$32-C$31),"",GammaSelfNext(C$29,INDIRECT(C$26&amp;"!A"&amp;ROW()-C$32+C$31&amp;":F"&amp;ROW()-C$32+C$31),C231))</f>
        <v/>
      </c>
      <c r="D232" t="e">
        <f t="shared" ca="1" si="8"/>
        <v>#N/A</v>
      </c>
      <c r="E232" t="e">
        <f t="shared" ca="1" si="9"/>
        <v>#N/A</v>
      </c>
    </row>
    <row r="233" spans="1:5" x14ac:dyDescent="0.3">
      <c r="A233" t="str" cm="1">
        <f t="array" aca="1" ref="A233" ca="1">IF(OR(INDIRECT($C$26&amp;"!B"&amp;(ROW()-$C$32+$C$31))="",$C$1="M2"),"",1+ROW(A233)-$C$32)</f>
        <v/>
      </c>
      <c r="B233" t="str" cm="1">
        <f t="array" aca="1" ref="B233" ca="1">IF(OR(INDIRECT(C$26&amp;"!B"&amp;(ROW()-C$32+C$31))="",$C$1="M2"),"",1+ROW(B233)-C$32)</f>
        <v/>
      </c>
      <c r="C233" t="str" cm="1">
        <f t="array" aca="1" ref="C233" ca="1">IF(ROW()&gt;(C$33+C$32-C$31),"",GammaSelfNext(C$29,INDIRECT(C$26&amp;"!A"&amp;ROW()-C$32+C$31&amp;":F"&amp;ROW()-C$32+C$31),C232))</f>
        <v/>
      </c>
      <c r="D233" t="e">
        <f t="shared" ref="D233:D296" ca="1" si="10">IF(C233="",NA(),IMREAL(C233))</f>
        <v>#N/A</v>
      </c>
      <c r="E233" t="e">
        <f t="shared" ref="E233:E296" ca="1" si="11">IF(C233="",NA(),IMAGINARY(C233))</f>
        <v>#N/A</v>
      </c>
    </row>
    <row r="234" spans="1:5" x14ac:dyDescent="0.3">
      <c r="A234" t="str" cm="1">
        <f t="array" aca="1" ref="A234" ca="1">IF(OR(INDIRECT($C$26&amp;"!B"&amp;(ROW()-$C$32+$C$31))="",$C$1="M2"),"",1+ROW(A234)-$C$32)</f>
        <v/>
      </c>
      <c r="B234" t="str" cm="1">
        <f t="array" aca="1" ref="B234" ca="1">IF(OR(INDIRECT(C$26&amp;"!B"&amp;(ROW()-C$32+C$31))="",$C$1="M2"),"",1+ROW(B234)-C$32)</f>
        <v/>
      </c>
      <c r="C234" t="str" cm="1">
        <f t="array" aca="1" ref="C234" ca="1">IF(ROW()&gt;(C$33+C$32-C$31),"",GammaSelfNext(C$29,INDIRECT(C$26&amp;"!A"&amp;ROW()-C$32+C$31&amp;":F"&amp;ROW()-C$32+C$31),C233))</f>
        <v/>
      </c>
      <c r="D234" t="e">
        <f t="shared" ca="1" si="10"/>
        <v>#N/A</v>
      </c>
      <c r="E234" t="e">
        <f t="shared" ca="1" si="11"/>
        <v>#N/A</v>
      </c>
    </row>
    <row r="235" spans="1:5" x14ac:dyDescent="0.3">
      <c r="A235" t="str" cm="1">
        <f t="array" aca="1" ref="A235" ca="1">IF(OR(INDIRECT($C$26&amp;"!B"&amp;(ROW()-$C$32+$C$31))="",$C$1="M2"),"",1+ROW(A235)-$C$32)</f>
        <v/>
      </c>
      <c r="B235" t="str" cm="1">
        <f t="array" aca="1" ref="B235" ca="1">IF(OR(INDIRECT(C$26&amp;"!B"&amp;(ROW()-C$32+C$31))="",$C$1="M2"),"",1+ROW(B235)-C$32)</f>
        <v/>
      </c>
      <c r="C235" t="str" cm="1">
        <f t="array" aca="1" ref="C235" ca="1">IF(ROW()&gt;(C$33+C$32-C$31),"",GammaSelfNext(C$29,INDIRECT(C$26&amp;"!A"&amp;ROW()-C$32+C$31&amp;":F"&amp;ROW()-C$32+C$31),C234))</f>
        <v/>
      </c>
      <c r="D235" t="e">
        <f t="shared" ca="1" si="10"/>
        <v>#N/A</v>
      </c>
      <c r="E235" t="e">
        <f t="shared" ca="1" si="11"/>
        <v>#N/A</v>
      </c>
    </row>
    <row r="236" spans="1:5" x14ac:dyDescent="0.3">
      <c r="A236" t="str" cm="1">
        <f t="array" aca="1" ref="A236" ca="1">IF(OR(INDIRECT($C$26&amp;"!B"&amp;(ROW()-$C$32+$C$31))="",$C$1="M2"),"",1+ROW(A236)-$C$32)</f>
        <v/>
      </c>
      <c r="B236" t="str" cm="1">
        <f t="array" aca="1" ref="B236" ca="1">IF(OR(INDIRECT(C$26&amp;"!B"&amp;(ROW()-C$32+C$31))="",$C$1="M2"),"",1+ROW(B236)-C$32)</f>
        <v/>
      </c>
      <c r="C236" t="str" cm="1">
        <f t="array" aca="1" ref="C236" ca="1">IF(ROW()&gt;(C$33+C$32-C$31),"",GammaSelfNext(C$29,INDIRECT(C$26&amp;"!A"&amp;ROW()-C$32+C$31&amp;":F"&amp;ROW()-C$32+C$31),C235))</f>
        <v/>
      </c>
      <c r="D236" t="e">
        <f t="shared" ca="1" si="10"/>
        <v>#N/A</v>
      </c>
      <c r="E236" t="e">
        <f t="shared" ca="1" si="11"/>
        <v>#N/A</v>
      </c>
    </row>
    <row r="237" spans="1:5" x14ac:dyDescent="0.3">
      <c r="A237" t="str" cm="1">
        <f t="array" aca="1" ref="A237" ca="1">IF(OR(INDIRECT($C$26&amp;"!B"&amp;(ROW()-$C$32+$C$31))="",$C$1="M2"),"",1+ROW(A237)-$C$32)</f>
        <v/>
      </c>
      <c r="B237" t="str" cm="1">
        <f t="array" aca="1" ref="B237" ca="1">IF(OR(INDIRECT(C$26&amp;"!B"&amp;(ROW()-C$32+C$31))="",$C$1="M2"),"",1+ROW(B237)-C$32)</f>
        <v/>
      </c>
      <c r="C237" t="str" cm="1">
        <f t="array" aca="1" ref="C237" ca="1">IF(ROW()&gt;(C$33+C$32-C$31),"",GammaSelfNext(C$29,INDIRECT(C$26&amp;"!A"&amp;ROW()-C$32+C$31&amp;":F"&amp;ROW()-C$32+C$31),C236))</f>
        <v/>
      </c>
      <c r="D237" t="e">
        <f t="shared" ca="1" si="10"/>
        <v>#N/A</v>
      </c>
      <c r="E237" t="e">
        <f t="shared" ca="1" si="11"/>
        <v>#N/A</v>
      </c>
    </row>
    <row r="238" spans="1:5" x14ac:dyDescent="0.3">
      <c r="A238" t="str" cm="1">
        <f t="array" aca="1" ref="A238" ca="1">IF(OR(INDIRECT($C$26&amp;"!B"&amp;(ROW()-$C$32+$C$31))="",$C$1="M2"),"",1+ROW(A238)-$C$32)</f>
        <v/>
      </c>
      <c r="B238" t="str" cm="1">
        <f t="array" aca="1" ref="B238" ca="1">IF(OR(INDIRECT(C$26&amp;"!B"&amp;(ROW()-C$32+C$31))="",$C$1="M2"),"",1+ROW(B238)-C$32)</f>
        <v/>
      </c>
      <c r="C238" t="str" cm="1">
        <f t="array" aca="1" ref="C238" ca="1">IF(ROW()&gt;(C$33+C$32-C$31),"",GammaSelfNext(C$29,INDIRECT(C$26&amp;"!A"&amp;ROW()-C$32+C$31&amp;":F"&amp;ROW()-C$32+C$31),C237))</f>
        <v/>
      </c>
      <c r="D238" t="e">
        <f t="shared" ca="1" si="10"/>
        <v>#N/A</v>
      </c>
      <c r="E238" t="e">
        <f t="shared" ca="1" si="11"/>
        <v>#N/A</v>
      </c>
    </row>
    <row r="239" spans="1:5" x14ac:dyDescent="0.3">
      <c r="A239" t="str" cm="1">
        <f t="array" aca="1" ref="A239" ca="1">IF(OR(INDIRECT($C$26&amp;"!B"&amp;(ROW()-$C$32+$C$31))="",$C$1="M2"),"",1+ROW(A239)-$C$32)</f>
        <v/>
      </c>
      <c r="B239" t="str" cm="1">
        <f t="array" aca="1" ref="B239" ca="1">IF(OR(INDIRECT(C$26&amp;"!B"&amp;(ROW()-C$32+C$31))="",$C$1="M2"),"",1+ROW(B239)-C$32)</f>
        <v/>
      </c>
      <c r="C239" t="str" cm="1">
        <f t="array" aca="1" ref="C239" ca="1">IF(ROW()&gt;(C$33+C$32-C$31),"",GammaSelfNext(C$29,INDIRECT(C$26&amp;"!A"&amp;ROW()-C$32+C$31&amp;":F"&amp;ROW()-C$32+C$31),C238))</f>
        <v/>
      </c>
      <c r="D239" t="e">
        <f t="shared" ca="1" si="10"/>
        <v>#N/A</v>
      </c>
      <c r="E239" t="e">
        <f t="shared" ca="1" si="11"/>
        <v>#N/A</v>
      </c>
    </row>
    <row r="240" spans="1:5" x14ac:dyDescent="0.3">
      <c r="A240" t="str" cm="1">
        <f t="array" aca="1" ref="A240" ca="1">IF(OR(INDIRECT($C$26&amp;"!B"&amp;(ROW()-$C$32+$C$31))="",$C$1="M2"),"",1+ROW(A240)-$C$32)</f>
        <v/>
      </c>
      <c r="B240" t="str" cm="1">
        <f t="array" aca="1" ref="B240" ca="1">IF(OR(INDIRECT(C$26&amp;"!B"&amp;(ROW()-C$32+C$31))="",$C$1="M2"),"",1+ROW(B240)-C$32)</f>
        <v/>
      </c>
      <c r="C240" t="str" cm="1">
        <f t="array" aca="1" ref="C240" ca="1">IF(ROW()&gt;(C$33+C$32-C$31),"",GammaSelfNext(C$29,INDIRECT(C$26&amp;"!A"&amp;ROW()-C$32+C$31&amp;":F"&amp;ROW()-C$32+C$31),C239))</f>
        <v/>
      </c>
      <c r="D240" t="e">
        <f t="shared" ca="1" si="10"/>
        <v>#N/A</v>
      </c>
      <c r="E240" t="e">
        <f t="shared" ca="1" si="11"/>
        <v>#N/A</v>
      </c>
    </row>
    <row r="241" spans="1:5" x14ac:dyDescent="0.3">
      <c r="A241" t="str" cm="1">
        <f t="array" aca="1" ref="A241" ca="1">IF(OR(INDIRECT($C$26&amp;"!B"&amp;(ROW()-$C$32+$C$31))="",$C$1="M2"),"",1+ROW(A241)-$C$32)</f>
        <v/>
      </c>
      <c r="B241" t="str" cm="1">
        <f t="array" aca="1" ref="B241" ca="1">IF(OR(INDIRECT(C$26&amp;"!B"&amp;(ROW()-C$32+C$31))="",$C$1="M2"),"",1+ROW(B241)-C$32)</f>
        <v/>
      </c>
      <c r="C241" t="str" cm="1">
        <f t="array" aca="1" ref="C241" ca="1">IF(ROW()&gt;(C$33+C$32-C$31),"",GammaSelfNext(C$29,INDIRECT(C$26&amp;"!A"&amp;ROW()-C$32+C$31&amp;":F"&amp;ROW()-C$32+C$31),C240))</f>
        <v/>
      </c>
      <c r="D241" t="e">
        <f t="shared" ca="1" si="10"/>
        <v>#N/A</v>
      </c>
      <c r="E241" t="e">
        <f t="shared" ca="1" si="11"/>
        <v>#N/A</v>
      </c>
    </row>
    <row r="242" spans="1:5" x14ac:dyDescent="0.3">
      <c r="A242" t="str" cm="1">
        <f t="array" aca="1" ref="A242" ca="1">IF(OR(INDIRECT($C$26&amp;"!B"&amp;(ROW()-$C$32+$C$31))="",$C$1="M2"),"",1+ROW(A242)-$C$32)</f>
        <v/>
      </c>
      <c r="B242" t="str" cm="1">
        <f t="array" aca="1" ref="B242" ca="1">IF(OR(INDIRECT(C$26&amp;"!B"&amp;(ROW()-C$32+C$31))="",$C$1="M2"),"",1+ROW(B242)-C$32)</f>
        <v/>
      </c>
      <c r="C242" t="str" cm="1">
        <f t="array" aca="1" ref="C242" ca="1">IF(ROW()&gt;(C$33+C$32-C$31),"",GammaSelfNext(C$29,INDIRECT(C$26&amp;"!A"&amp;ROW()-C$32+C$31&amp;":F"&amp;ROW()-C$32+C$31),C241))</f>
        <v/>
      </c>
      <c r="D242" t="e">
        <f t="shared" ca="1" si="10"/>
        <v>#N/A</v>
      </c>
      <c r="E242" t="e">
        <f t="shared" ca="1" si="11"/>
        <v>#N/A</v>
      </c>
    </row>
    <row r="243" spans="1:5" x14ac:dyDescent="0.3">
      <c r="A243" t="str" cm="1">
        <f t="array" aca="1" ref="A243" ca="1">IF(OR(INDIRECT($C$26&amp;"!B"&amp;(ROW()-$C$32+$C$31))="",$C$1="M2"),"",1+ROW(A243)-$C$32)</f>
        <v/>
      </c>
      <c r="B243" t="str" cm="1">
        <f t="array" aca="1" ref="B243" ca="1">IF(OR(INDIRECT(C$26&amp;"!B"&amp;(ROW()-C$32+C$31))="",$C$1="M2"),"",1+ROW(B243)-C$32)</f>
        <v/>
      </c>
      <c r="C243" t="str" cm="1">
        <f t="array" aca="1" ref="C243" ca="1">IF(ROW()&gt;(C$33+C$32-C$31),"",GammaSelfNext(C$29,INDIRECT(C$26&amp;"!A"&amp;ROW()-C$32+C$31&amp;":F"&amp;ROW()-C$32+C$31),C242))</f>
        <v/>
      </c>
      <c r="D243" t="e">
        <f t="shared" ca="1" si="10"/>
        <v>#N/A</v>
      </c>
      <c r="E243" t="e">
        <f t="shared" ca="1" si="11"/>
        <v>#N/A</v>
      </c>
    </row>
    <row r="244" spans="1:5" x14ac:dyDescent="0.3">
      <c r="A244" t="str" cm="1">
        <f t="array" aca="1" ref="A244" ca="1">IF(OR(INDIRECT($C$26&amp;"!B"&amp;(ROW()-$C$32+$C$31))="",$C$1="M2"),"",1+ROW(A244)-$C$32)</f>
        <v/>
      </c>
      <c r="B244" t="str" cm="1">
        <f t="array" aca="1" ref="B244" ca="1">IF(OR(INDIRECT(C$26&amp;"!B"&amp;(ROW()-C$32+C$31))="",$C$1="M2"),"",1+ROW(B244)-C$32)</f>
        <v/>
      </c>
      <c r="C244" t="str" cm="1">
        <f t="array" aca="1" ref="C244" ca="1">IF(ROW()&gt;(C$33+C$32-C$31),"",GammaSelfNext(C$29,INDIRECT(C$26&amp;"!A"&amp;ROW()-C$32+C$31&amp;":F"&amp;ROW()-C$32+C$31),C243))</f>
        <v/>
      </c>
      <c r="D244" t="e">
        <f t="shared" ca="1" si="10"/>
        <v>#N/A</v>
      </c>
      <c r="E244" t="e">
        <f t="shared" ca="1" si="11"/>
        <v>#N/A</v>
      </c>
    </row>
    <row r="245" spans="1:5" x14ac:dyDescent="0.3">
      <c r="A245" t="str" cm="1">
        <f t="array" aca="1" ref="A245" ca="1">IF(OR(INDIRECT($C$26&amp;"!B"&amp;(ROW()-$C$32+$C$31))="",$C$1="M2"),"",1+ROW(A245)-$C$32)</f>
        <v/>
      </c>
      <c r="B245" t="str" cm="1">
        <f t="array" aca="1" ref="B245" ca="1">IF(OR(INDIRECT(C$26&amp;"!B"&amp;(ROW()-C$32+C$31))="",$C$1="M2"),"",1+ROW(B245)-C$32)</f>
        <v/>
      </c>
      <c r="C245" t="str" cm="1">
        <f t="array" aca="1" ref="C245" ca="1">IF(ROW()&gt;(C$33+C$32-C$31),"",GammaSelfNext(C$29,INDIRECT(C$26&amp;"!A"&amp;ROW()-C$32+C$31&amp;":F"&amp;ROW()-C$32+C$31),C244))</f>
        <v/>
      </c>
      <c r="D245" t="e">
        <f t="shared" ca="1" si="10"/>
        <v>#N/A</v>
      </c>
      <c r="E245" t="e">
        <f t="shared" ca="1" si="11"/>
        <v>#N/A</v>
      </c>
    </row>
    <row r="246" spans="1:5" x14ac:dyDescent="0.3">
      <c r="A246" t="str" cm="1">
        <f t="array" aca="1" ref="A246" ca="1">IF(OR(INDIRECT($C$26&amp;"!B"&amp;(ROW()-$C$32+$C$31))="",$C$1="M2"),"",1+ROW(A246)-$C$32)</f>
        <v/>
      </c>
      <c r="B246" t="str" cm="1">
        <f t="array" aca="1" ref="B246" ca="1">IF(OR(INDIRECT(C$26&amp;"!B"&amp;(ROW()-C$32+C$31))="",$C$1="M2"),"",1+ROW(B246)-C$32)</f>
        <v/>
      </c>
      <c r="C246" t="str" cm="1">
        <f t="array" aca="1" ref="C246" ca="1">IF(ROW()&gt;(C$33+C$32-C$31),"",GammaSelfNext(C$29,INDIRECT(C$26&amp;"!A"&amp;ROW()-C$32+C$31&amp;":F"&amp;ROW()-C$32+C$31),C245))</f>
        <v/>
      </c>
      <c r="D246" t="e">
        <f t="shared" ca="1" si="10"/>
        <v>#N/A</v>
      </c>
      <c r="E246" t="e">
        <f t="shared" ca="1" si="11"/>
        <v>#N/A</v>
      </c>
    </row>
    <row r="247" spans="1:5" x14ac:dyDescent="0.3">
      <c r="A247" t="str" cm="1">
        <f t="array" aca="1" ref="A247" ca="1">IF(OR(INDIRECT($C$26&amp;"!B"&amp;(ROW()-$C$32+$C$31))="",$C$1="M2"),"",1+ROW(A247)-$C$32)</f>
        <v/>
      </c>
      <c r="B247" t="str" cm="1">
        <f t="array" aca="1" ref="B247" ca="1">IF(OR(INDIRECT(C$26&amp;"!B"&amp;(ROW()-C$32+C$31))="",$C$1="M2"),"",1+ROW(B247)-C$32)</f>
        <v/>
      </c>
      <c r="C247" t="str" cm="1">
        <f t="array" aca="1" ref="C247" ca="1">IF(ROW()&gt;(C$33+C$32-C$31),"",GammaSelfNext(C$29,INDIRECT(C$26&amp;"!A"&amp;ROW()-C$32+C$31&amp;":F"&amp;ROW()-C$32+C$31),C246))</f>
        <v/>
      </c>
      <c r="D247" t="e">
        <f t="shared" ca="1" si="10"/>
        <v>#N/A</v>
      </c>
      <c r="E247" t="e">
        <f t="shared" ca="1" si="11"/>
        <v>#N/A</v>
      </c>
    </row>
    <row r="248" spans="1:5" x14ac:dyDescent="0.3">
      <c r="A248" t="str" cm="1">
        <f t="array" aca="1" ref="A248" ca="1">IF(OR(INDIRECT($C$26&amp;"!B"&amp;(ROW()-$C$32+$C$31))="",$C$1="M2"),"",1+ROW(A248)-$C$32)</f>
        <v/>
      </c>
      <c r="B248" t="str" cm="1">
        <f t="array" aca="1" ref="B248" ca="1">IF(OR(INDIRECT(C$26&amp;"!B"&amp;(ROW()-C$32+C$31))="",$C$1="M2"),"",1+ROW(B248)-C$32)</f>
        <v/>
      </c>
      <c r="C248" t="str" cm="1">
        <f t="array" aca="1" ref="C248" ca="1">IF(ROW()&gt;(C$33+C$32-C$31),"",GammaSelfNext(C$29,INDIRECT(C$26&amp;"!A"&amp;ROW()-C$32+C$31&amp;":F"&amp;ROW()-C$32+C$31),C247))</f>
        <v/>
      </c>
      <c r="D248" t="e">
        <f t="shared" ca="1" si="10"/>
        <v>#N/A</v>
      </c>
      <c r="E248" t="e">
        <f t="shared" ca="1" si="11"/>
        <v>#N/A</v>
      </c>
    </row>
    <row r="249" spans="1:5" x14ac:dyDescent="0.3">
      <c r="A249" t="str" cm="1">
        <f t="array" aca="1" ref="A249" ca="1">IF(OR(INDIRECT($C$26&amp;"!B"&amp;(ROW()-$C$32+$C$31))="",$C$1="M2"),"",1+ROW(A249)-$C$32)</f>
        <v/>
      </c>
      <c r="B249" t="str" cm="1">
        <f t="array" aca="1" ref="B249" ca="1">IF(OR(INDIRECT(C$26&amp;"!B"&amp;(ROW()-C$32+C$31))="",$C$1="M2"),"",1+ROW(B249)-C$32)</f>
        <v/>
      </c>
      <c r="C249" t="str" cm="1">
        <f t="array" aca="1" ref="C249" ca="1">IF(ROW()&gt;(C$33+C$32-C$31),"",GammaSelfNext(C$29,INDIRECT(C$26&amp;"!A"&amp;ROW()-C$32+C$31&amp;":F"&amp;ROW()-C$32+C$31),C248))</f>
        <v/>
      </c>
      <c r="D249" t="e">
        <f t="shared" ca="1" si="10"/>
        <v>#N/A</v>
      </c>
      <c r="E249" t="e">
        <f t="shared" ca="1" si="11"/>
        <v>#N/A</v>
      </c>
    </row>
    <row r="250" spans="1:5" x14ac:dyDescent="0.3">
      <c r="A250" t="str" cm="1">
        <f t="array" aca="1" ref="A250" ca="1">IF(OR(INDIRECT($C$26&amp;"!B"&amp;(ROW()-$C$32+$C$31))="",$C$1="M2"),"",1+ROW(A250)-$C$32)</f>
        <v/>
      </c>
      <c r="B250" t="str" cm="1">
        <f t="array" aca="1" ref="B250" ca="1">IF(OR(INDIRECT(C$26&amp;"!B"&amp;(ROW()-C$32+C$31))="",$C$1="M2"),"",1+ROW(B250)-C$32)</f>
        <v/>
      </c>
      <c r="C250" t="str" cm="1">
        <f t="array" aca="1" ref="C250" ca="1">IF(ROW()&gt;(C$33+C$32-C$31),"",GammaSelfNext(C$29,INDIRECT(C$26&amp;"!A"&amp;ROW()-C$32+C$31&amp;":F"&amp;ROW()-C$32+C$31),C249))</f>
        <v/>
      </c>
      <c r="D250" t="e">
        <f t="shared" ca="1" si="10"/>
        <v>#N/A</v>
      </c>
      <c r="E250" t="e">
        <f t="shared" ca="1" si="11"/>
        <v>#N/A</v>
      </c>
    </row>
    <row r="251" spans="1:5" x14ac:dyDescent="0.3">
      <c r="A251" t="str" cm="1">
        <f t="array" aca="1" ref="A251" ca="1">IF(OR(INDIRECT($C$26&amp;"!B"&amp;(ROW()-$C$32+$C$31))="",$C$1="M2"),"",1+ROW(A251)-$C$32)</f>
        <v/>
      </c>
      <c r="B251" t="str" cm="1">
        <f t="array" aca="1" ref="B251" ca="1">IF(OR(INDIRECT(C$26&amp;"!B"&amp;(ROW()-C$32+C$31))="",$C$1="M2"),"",1+ROW(B251)-C$32)</f>
        <v/>
      </c>
      <c r="C251" t="str" cm="1">
        <f t="array" aca="1" ref="C251" ca="1">IF(ROW()&gt;(C$33+C$32-C$31),"",GammaSelfNext(C$29,INDIRECT(C$26&amp;"!A"&amp;ROW()-C$32+C$31&amp;":F"&amp;ROW()-C$32+C$31),C250))</f>
        <v/>
      </c>
      <c r="D251" t="e">
        <f t="shared" ca="1" si="10"/>
        <v>#N/A</v>
      </c>
      <c r="E251" t="e">
        <f t="shared" ca="1" si="11"/>
        <v>#N/A</v>
      </c>
    </row>
    <row r="252" spans="1:5" x14ac:dyDescent="0.3">
      <c r="A252" t="str" cm="1">
        <f t="array" aca="1" ref="A252" ca="1">IF(OR(INDIRECT($C$26&amp;"!B"&amp;(ROW()-$C$32+$C$31))="",$C$1="M2"),"",1+ROW(A252)-$C$32)</f>
        <v/>
      </c>
      <c r="B252" t="str" cm="1">
        <f t="array" aca="1" ref="B252" ca="1">IF(OR(INDIRECT(C$26&amp;"!B"&amp;(ROW()-C$32+C$31))="",$C$1="M2"),"",1+ROW(B252)-C$32)</f>
        <v/>
      </c>
      <c r="C252" t="str" cm="1">
        <f t="array" aca="1" ref="C252" ca="1">IF(ROW()&gt;(C$33+C$32-C$31),"",GammaSelfNext(C$29,INDIRECT(C$26&amp;"!A"&amp;ROW()-C$32+C$31&amp;":F"&amp;ROW()-C$32+C$31),C251))</f>
        <v/>
      </c>
      <c r="D252" t="e">
        <f t="shared" ca="1" si="10"/>
        <v>#N/A</v>
      </c>
      <c r="E252" t="e">
        <f t="shared" ca="1" si="11"/>
        <v>#N/A</v>
      </c>
    </row>
    <row r="253" spans="1:5" x14ac:dyDescent="0.3">
      <c r="A253" t="str" cm="1">
        <f t="array" aca="1" ref="A253" ca="1">IF(OR(INDIRECT($C$26&amp;"!B"&amp;(ROW()-$C$32+$C$31))="",$C$1="M2"),"",1+ROW(A253)-$C$32)</f>
        <v/>
      </c>
      <c r="B253" t="str" cm="1">
        <f t="array" aca="1" ref="B253" ca="1">IF(OR(INDIRECT(C$26&amp;"!B"&amp;(ROW()-C$32+C$31))="",$C$1="M2"),"",1+ROW(B253)-C$32)</f>
        <v/>
      </c>
      <c r="C253" t="str" cm="1">
        <f t="array" aca="1" ref="C253" ca="1">IF(ROW()&gt;(C$33+C$32-C$31),"",GammaSelfNext(C$29,INDIRECT(C$26&amp;"!A"&amp;ROW()-C$32+C$31&amp;":F"&amp;ROW()-C$32+C$31),C252))</f>
        <v/>
      </c>
      <c r="D253" t="e">
        <f t="shared" ca="1" si="10"/>
        <v>#N/A</v>
      </c>
      <c r="E253" t="e">
        <f t="shared" ca="1" si="11"/>
        <v>#N/A</v>
      </c>
    </row>
    <row r="254" spans="1:5" x14ac:dyDescent="0.3">
      <c r="A254" t="str" cm="1">
        <f t="array" aca="1" ref="A254" ca="1">IF(OR(INDIRECT($C$26&amp;"!B"&amp;(ROW()-$C$32+$C$31))="",$C$1="M2"),"",1+ROW(A254)-$C$32)</f>
        <v/>
      </c>
      <c r="B254" t="str" cm="1">
        <f t="array" aca="1" ref="B254" ca="1">IF(OR(INDIRECT(C$26&amp;"!B"&amp;(ROW()-C$32+C$31))="",$C$1="M2"),"",1+ROW(B254)-C$32)</f>
        <v/>
      </c>
      <c r="C254" t="str" cm="1">
        <f t="array" aca="1" ref="C254" ca="1">IF(ROW()&gt;(C$33+C$32-C$31),"",GammaSelfNext(C$29,INDIRECT(C$26&amp;"!A"&amp;ROW()-C$32+C$31&amp;":F"&amp;ROW()-C$32+C$31),C253))</f>
        <v/>
      </c>
      <c r="D254" t="e">
        <f t="shared" ca="1" si="10"/>
        <v>#N/A</v>
      </c>
      <c r="E254" t="e">
        <f t="shared" ca="1" si="11"/>
        <v>#N/A</v>
      </c>
    </row>
    <row r="255" spans="1:5" x14ac:dyDescent="0.3">
      <c r="A255" t="str" cm="1">
        <f t="array" aca="1" ref="A255" ca="1">IF(OR(INDIRECT($C$26&amp;"!B"&amp;(ROW()-$C$32+$C$31))="",$C$1="M2"),"",1+ROW(A255)-$C$32)</f>
        <v/>
      </c>
      <c r="B255" t="str" cm="1">
        <f t="array" aca="1" ref="B255" ca="1">IF(OR(INDIRECT(C$26&amp;"!B"&amp;(ROW()-C$32+C$31))="",$C$1="M2"),"",1+ROW(B255)-C$32)</f>
        <v/>
      </c>
      <c r="C255" t="str" cm="1">
        <f t="array" aca="1" ref="C255" ca="1">IF(ROW()&gt;(C$33+C$32-C$31),"",GammaSelfNext(C$29,INDIRECT(C$26&amp;"!A"&amp;ROW()-C$32+C$31&amp;":F"&amp;ROW()-C$32+C$31),C254))</f>
        <v/>
      </c>
      <c r="D255" t="e">
        <f t="shared" ca="1" si="10"/>
        <v>#N/A</v>
      </c>
      <c r="E255" t="e">
        <f t="shared" ca="1" si="11"/>
        <v>#N/A</v>
      </c>
    </row>
    <row r="256" spans="1:5" x14ac:dyDescent="0.3">
      <c r="A256" t="str" cm="1">
        <f t="array" aca="1" ref="A256" ca="1">IF(OR(INDIRECT($C$26&amp;"!B"&amp;(ROW()-$C$32+$C$31))="",$C$1="M2"),"",1+ROW(A256)-$C$32)</f>
        <v/>
      </c>
      <c r="B256" t="str" cm="1">
        <f t="array" aca="1" ref="B256" ca="1">IF(OR(INDIRECT(C$26&amp;"!B"&amp;(ROW()-C$32+C$31))="",$C$1="M2"),"",1+ROW(B256)-C$32)</f>
        <v/>
      </c>
      <c r="C256" t="str" cm="1">
        <f t="array" aca="1" ref="C256" ca="1">IF(ROW()&gt;(C$33+C$32-C$31),"",GammaSelfNext(C$29,INDIRECT(C$26&amp;"!A"&amp;ROW()-C$32+C$31&amp;":F"&amp;ROW()-C$32+C$31),C255))</f>
        <v/>
      </c>
      <c r="D256" t="e">
        <f t="shared" ca="1" si="10"/>
        <v>#N/A</v>
      </c>
      <c r="E256" t="e">
        <f t="shared" ca="1" si="11"/>
        <v>#N/A</v>
      </c>
    </row>
    <row r="257" spans="1:5" x14ac:dyDescent="0.3">
      <c r="A257" t="str" cm="1">
        <f t="array" aca="1" ref="A257" ca="1">IF(OR(INDIRECT($C$26&amp;"!B"&amp;(ROW()-$C$32+$C$31))="",$C$1="M2"),"",1+ROW(A257)-$C$32)</f>
        <v/>
      </c>
      <c r="B257" t="str" cm="1">
        <f t="array" aca="1" ref="B257" ca="1">IF(OR(INDIRECT(C$26&amp;"!B"&amp;(ROW()-C$32+C$31))="",$C$1="M2"),"",1+ROW(B257)-C$32)</f>
        <v/>
      </c>
      <c r="C257" t="str" cm="1">
        <f t="array" aca="1" ref="C257" ca="1">IF(ROW()&gt;(C$33+C$32-C$31),"",GammaSelfNext(C$29,INDIRECT(C$26&amp;"!A"&amp;ROW()-C$32+C$31&amp;":F"&amp;ROW()-C$32+C$31),C256))</f>
        <v/>
      </c>
      <c r="D257" t="e">
        <f t="shared" ca="1" si="10"/>
        <v>#N/A</v>
      </c>
      <c r="E257" t="e">
        <f t="shared" ca="1" si="11"/>
        <v>#N/A</v>
      </c>
    </row>
    <row r="258" spans="1:5" x14ac:dyDescent="0.3">
      <c r="A258" t="str" cm="1">
        <f t="array" aca="1" ref="A258" ca="1">IF(OR(INDIRECT($C$26&amp;"!B"&amp;(ROW()-$C$32+$C$31))="",$C$1="M2"),"",1+ROW(A258)-$C$32)</f>
        <v/>
      </c>
      <c r="B258" t="str" cm="1">
        <f t="array" aca="1" ref="B258" ca="1">IF(OR(INDIRECT(C$26&amp;"!B"&amp;(ROW()-C$32+C$31))="",$C$1="M2"),"",1+ROW(B258)-C$32)</f>
        <v/>
      </c>
      <c r="C258" t="str" cm="1">
        <f t="array" aca="1" ref="C258" ca="1">IF(ROW()&gt;(C$33+C$32-C$31),"",GammaSelfNext(C$29,INDIRECT(C$26&amp;"!A"&amp;ROW()-C$32+C$31&amp;":F"&amp;ROW()-C$32+C$31),C257))</f>
        <v/>
      </c>
      <c r="D258" t="e">
        <f t="shared" ca="1" si="10"/>
        <v>#N/A</v>
      </c>
      <c r="E258" t="e">
        <f t="shared" ca="1" si="11"/>
        <v>#N/A</v>
      </c>
    </row>
    <row r="259" spans="1:5" x14ac:dyDescent="0.3">
      <c r="A259" t="str" cm="1">
        <f t="array" aca="1" ref="A259" ca="1">IF(OR(INDIRECT($C$26&amp;"!B"&amp;(ROW()-$C$32+$C$31))="",$C$1="M2"),"",1+ROW(A259)-$C$32)</f>
        <v/>
      </c>
      <c r="B259" t="str" cm="1">
        <f t="array" aca="1" ref="B259" ca="1">IF(OR(INDIRECT(C$26&amp;"!B"&amp;(ROW()-C$32+C$31))="",$C$1="M2"),"",1+ROW(B259)-C$32)</f>
        <v/>
      </c>
      <c r="C259" t="str" cm="1">
        <f t="array" aca="1" ref="C259" ca="1">IF(ROW()&gt;(C$33+C$32-C$31),"",GammaSelfNext(C$29,INDIRECT(C$26&amp;"!A"&amp;ROW()-C$32+C$31&amp;":F"&amp;ROW()-C$32+C$31),C258))</f>
        <v/>
      </c>
      <c r="D259" t="e">
        <f t="shared" ca="1" si="10"/>
        <v>#N/A</v>
      </c>
      <c r="E259" t="e">
        <f t="shared" ca="1" si="11"/>
        <v>#N/A</v>
      </c>
    </row>
    <row r="260" spans="1:5" x14ac:dyDescent="0.3">
      <c r="A260" t="str" cm="1">
        <f t="array" aca="1" ref="A260" ca="1">IF(OR(INDIRECT($C$26&amp;"!B"&amp;(ROW()-$C$32+$C$31))="",$C$1="M2"),"",1+ROW(A260)-$C$32)</f>
        <v/>
      </c>
      <c r="B260" t="str" cm="1">
        <f t="array" aca="1" ref="B260" ca="1">IF(OR(INDIRECT(C$26&amp;"!B"&amp;(ROW()-C$32+C$31))="",$C$1="M2"),"",1+ROW(B260)-C$32)</f>
        <v/>
      </c>
      <c r="C260" t="str" cm="1">
        <f t="array" aca="1" ref="C260" ca="1">IF(ROW()&gt;(C$33+C$32-C$31),"",GammaSelfNext(C$29,INDIRECT(C$26&amp;"!A"&amp;ROW()-C$32+C$31&amp;":F"&amp;ROW()-C$32+C$31),C259))</f>
        <v/>
      </c>
      <c r="D260" t="e">
        <f t="shared" ca="1" si="10"/>
        <v>#N/A</v>
      </c>
      <c r="E260" t="e">
        <f t="shared" ca="1" si="11"/>
        <v>#N/A</v>
      </c>
    </row>
    <row r="261" spans="1:5" x14ac:dyDescent="0.3">
      <c r="A261" t="str" cm="1">
        <f t="array" aca="1" ref="A261" ca="1">IF(OR(INDIRECT($C$26&amp;"!B"&amp;(ROW()-$C$32+$C$31))="",$C$1="M2"),"",1+ROW(A261)-$C$32)</f>
        <v/>
      </c>
      <c r="B261" t="str" cm="1">
        <f t="array" aca="1" ref="B261" ca="1">IF(OR(INDIRECT(C$26&amp;"!B"&amp;(ROW()-C$32+C$31))="",$C$1="M2"),"",1+ROW(B261)-C$32)</f>
        <v/>
      </c>
      <c r="C261" t="str" cm="1">
        <f t="array" aca="1" ref="C261" ca="1">IF(ROW()&gt;(C$33+C$32-C$31),"",GammaSelfNext(C$29,INDIRECT(C$26&amp;"!A"&amp;ROW()-C$32+C$31&amp;":F"&amp;ROW()-C$32+C$31),C260))</f>
        <v/>
      </c>
      <c r="D261" t="e">
        <f t="shared" ca="1" si="10"/>
        <v>#N/A</v>
      </c>
      <c r="E261" t="e">
        <f t="shared" ca="1" si="11"/>
        <v>#N/A</v>
      </c>
    </row>
    <row r="262" spans="1:5" x14ac:dyDescent="0.3">
      <c r="A262" t="str" cm="1">
        <f t="array" aca="1" ref="A262" ca="1">IF(OR(INDIRECT($C$26&amp;"!B"&amp;(ROW()-$C$32+$C$31))="",$C$1="M2"),"",1+ROW(A262)-$C$32)</f>
        <v/>
      </c>
      <c r="B262" t="str" cm="1">
        <f t="array" aca="1" ref="B262" ca="1">IF(OR(INDIRECT(C$26&amp;"!B"&amp;(ROW()-C$32+C$31))="",$C$1="M2"),"",1+ROW(B262)-C$32)</f>
        <v/>
      </c>
      <c r="C262" t="str" cm="1">
        <f t="array" aca="1" ref="C262" ca="1">IF(ROW()&gt;(C$33+C$32-C$31),"",GammaSelfNext(C$29,INDIRECT(C$26&amp;"!A"&amp;ROW()-C$32+C$31&amp;":F"&amp;ROW()-C$32+C$31),C261))</f>
        <v/>
      </c>
      <c r="D262" t="e">
        <f t="shared" ca="1" si="10"/>
        <v>#N/A</v>
      </c>
      <c r="E262" t="e">
        <f t="shared" ca="1" si="11"/>
        <v>#N/A</v>
      </c>
    </row>
    <row r="263" spans="1:5" x14ac:dyDescent="0.3">
      <c r="A263" t="str" cm="1">
        <f t="array" aca="1" ref="A263" ca="1">IF(OR(INDIRECT($C$26&amp;"!B"&amp;(ROW()-$C$32+$C$31))="",$C$1="M2"),"",1+ROW(A263)-$C$32)</f>
        <v/>
      </c>
      <c r="B263" t="str" cm="1">
        <f t="array" aca="1" ref="B263" ca="1">IF(OR(INDIRECT(C$26&amp;"!B"&amp;(ROW()-C$32+C$31))="",$C$1="M2"),"",1+ROW(B263)-C$32)</f>
        <v/>
      </c>
      <c r="C263" t="str" cm="1">
        <f t="array" aca="1" ref="C263" ca="1">IF(ROW()&gt;(C$33+C$32-C$31),"",GammaSelfNext(C$29,INDIRECT(C$26&amp;"!A"&amp;ROW()-C$32+C$31&amp;":F"&amp;ROW()-C$32+C$31),C262))</f>
        <v/>
      </c>
      <c r="D263" t="e">
        <f t="shared" ca="1" si="10"/>
        <v>#N/A</v>
      </c>
      <c r="E263" t="e">
        <f t="shared" ca="1" si="11"/>
        <v>#N/A</v>
      </c>
    </row>
    <row r="264" spans="1:5" x14ac:dyDescent="0.3">
      <c r="A264" t="str" cm="1">
        <f t="array" aca="1" ref="A264" ca="1">IF(OR(INDIRECT($C$26&amp;"!B"&amp;(ROW()-$C$32+$C$31))="",$C$1="M2"),"",1+ROW(A264)-$C$32)</f>
        <v/>
      </c>
      <c r="B264" t="str" cm="1">
        <f t="array" aca="1" ref="B264" ca="1">IF(OR(INDIRECT(C$26&amp;"!B"&amp;(ROW()-C$32+C$31))="",$C$1="M2"),"",1+ROW(B264)-C$32)</f>
        <v/>
      </c>
      <c r="C264" t="str" cm="1">
        <f t="array" aca="1" ref="C264" ca="1">IF(ROW()&gt;(C$33+C$32-C$31),"",GammaSelfNext(C$29,INDIRECT(C$26&amp;"!A"&amp;ROW()-C$32+C$31&amp;":F"&amp;ROW()-C$32+C$31),C263))</f>
        <v/>
      </c>
      <c r="D264" t="e">
        <f t="shared" ca="1" si="10"/>
        <v>#N/A</v>
      </c>
      <c r="E264" t="e">
        <f t="shared" ca="1" si="11"/>
        <v>#N/A</v>
      </c>
    </row>
    <row r="265" spans="1:5" x14ac:dyDescent="0.3">
      <c r="A265" t="str" cm="1">
        <f t="array" aca="1" ref="A265" ca="1">IF(OR(INDIRECT($C$26&amp;"!B"&amp;(ROW()-$C$32+$C$31))="",$C$1="M2"),"",1+ROW(A265)-$C$32)</f>
        <v/>
      </c>
      <c r="B265" t="str" cm="1">
        <f t="array" aca="1" ref="B265" ca="1">IF(OR(INDIRECT(C$26&amp;"!B"&amp;(ROW()-C$32+C$31))="",$C$1="M2"),"",1+ROW(B265)-C$32)</f>
        <v/>
      </c>
      <c r="C265" t="str" cm="1">
        <f t="array" aca="1" ref="C265" ca="1">IF(ROW()&gt;(C$33+C$32-C$31),"",GammaSelfNext(C$29,INDIRECT(C$26&amp;"!A"&amp;ROW()-C$32+C$31&amp;":F"&amp;ROW()-C$32+C$31),C264))</f>
        <v/>
      </c>
      <c r="D265" t="e">
        <f t="shared" ca="1" si="10"/>
        <v>#N/A</v>
      </c>
      <c r="E265" t="e">
        <f t="shared" ca="1" si="11"/>
        <v>#N/A</v>
      </c>
    </row>
    <row r="266" spans="1:5" x14ac:dyDescent="0.3">
      <c r="A266" t="str" cm="1">
        <f t="array" aca="1" ref="A266" ca="1">IF(OR(INDIRECT($C$26&amp;"!B"&amp;(ROW()-$C$32+$C$31))="",$C$1="M2"),"",1+ROW(A266)-$C$32)</f>
        <v/>
      </c>
      <c r="B266" t="str" cm="1">
        <f t="array" aca="1" ref="B266" ca="1">IF(OR(INDIRECT(C$26&amp;"!B"&amp;(ROW()-C$32+C$31))="",$C$1="M2"),"",1+ROW(B266)-C$32)</f>
        <v/>
      </c>
      <c r="C266" t="str" cm="1">
        <f t="array" aca="1" ref="C266" ca="1">IF(ROW()&gt;(C$33+C$32-C$31),"",GammaSelfNext(C$29,INDIRECT(C$26&amp;"!A"&amp;ROW()-C$32+C$31&amp;":F"&amp;ROW()-C$32+C$31),C265))</f>
        <v/>
      </c>
      <c r="D266" t="e">
        <f t="shared" ca="1" si="10"/>
        <v>#N/A</v>
      </c>
      <c r="E266" t="e">
        <f t="shared" ca="1" si="11"/>
        <v>#N/A</v>
      </c>
    </row>
    <row r="267" spans="1:5" x14ac:dyDescent="0.3">
      <c r="A267" t="str" cm="1">
        <f t="array" aca="1" ref="A267" ca="1">IF(OR(INDIRECT($C$26&amp;"!B"&amp;(ROW()-$C$32+$C$31))="",$C$1="M2"),"",1+ROW(A267)-$C$32)</f>
        <v/>
      </c>
      <c r="B267" t="str" cm="1">
        <f t="array" aca="1" ref="B267" ca="1">IF(OR(INDIRECT(C$26&amp;"!B"&amp;(ROW()-C$32+C$31))="",$C$1="M2"),"",1+ROW(B267)-C$32)</f>
        <v/>
      </c>
      <c r="C267" t="str" cm="1">
        <f t="array" aca="1" ref="C267" ca="1">IF(ROW()&gt;(C$33+C$32-C$31),"",GammaSelfNext(C$29,INDIRECT(C$26&amp;"!A"&amp;ROW()-C$32+C$31&amp;":F"&amp;ROW()-C$32+C$31),C266))</f>
        <v/>
      </c>
      <c r="D267" t="e">
        <f t="shared" ca="1" si="10"/>
        <v>#N/A</v>
      </c>
      <c r="E267" t="e">
        <f t="shared" ca="1" si="11"/>
        <v>#N/A</v>
      </c>
    </row>
    <row r="268" spans="1:5" x14ac:dyDescent="0.3">
      <c r="A268" t="str" cm="1">
        <f t="array" aca="1" ref="A268" ca="1">IF(OR(INDIRECT($C$26&amp;"!B"&amp;(ROW()-$C$32+$C$31))="",$C$1="M2"),"",1+ROW(A268)-$C$32)</f>
        <v/>
      </c>
      <c r="B268" t="str" cm="1">
        <f t="array" aca="1" ref="B268" ca="1">IF(OR(INDIRECT(C$26&amp;"!B"&amp;(ROW()-C$32+C$31))="",$C$1="M2"),"",1+ROW(B268)-C$32)</f>
        <v/>
      </c>
      <c r="C268" t="str" cm="1">
        <f t="array" aca="1" ref="C268" ca="1">IF(ROW()&gt;(C$33+C$32-C$31),"",GammaSelfNext(C$29,INDIRECT(C$26&amp;"!A"&amp;ROW()-C$32+C$31&amp;":F"&amp;ROW()-C$32+C$31),C267))</f>
        <v/>
      </c>
      <c r="D268" t="e">
        <f t="shared" ca="1" si="10"/>
        <v>#N/A</v>
      </c>
      <c r="E268" t="e">
        <f t="shared" ca="1" si="11"/>
        <v>#N/A</v>
      </c>
    </row>
    <row r="269" spans="1:5" x14ac:dyDescent="0.3">
      <c r="A269" t="str" cm="1">
        <f t="array" aca="1" ref="A269" ca="1">IF(OR(INDIRECT($C$26&amp;"!B"&amp;(ROW()-$C$32+$C$31))="",$C$1="M2"),"",1+ROW(A269)-$C$32)</f>
        <v/>
      </c>
      <c r="B269" t="str" cm="1">
        <f t="array" aca="1" ref="B269" ca="1">IF(OR(INDIRECT(C$26&amp;"!B"&amp;(ROW()-C$32+C$31))="",$C$1="M2"),"",1+ROW(B269)-C$32)</f>
        <v/>
      </c>
      <c r="C269" t="str" cm="1">
        <f t="array" aca="1" ref="C269" ca="1">IF(ROW()&gt;(C$33+C$32-C$31),"",GammaSelfNext(C$29,INDIRECT(C$26&amp;"!A"&amp;ROW()-C$32+C$31&amp;":F"&amp;ROW()-C$32+C$31),C268))</f>
        <v/>
      </c>
      <c r="D269" t="e">
        <f t="shared" ca="1" si="10"/>
        <v>#N/A</v>
      </c>
      <c r="E269" t="e">
        <f t="shared" ca="1" si="11"/>
        <v>#N/A</v>
      </c>
    </row>
    <row r="270" spans="1:5" x14ac:dyDescent="0.3">
      <c r="A270" t="str" cm="1">
        <f t="array" aca="1" ref="A270" ca="1">IF(OR(INDIRECT($C$26&amp;"!B"&amp;(ROW()-$C$32+$C$31))="",$C$1="M2"),"",1+ROW(A270)-$C$32)</f>
        <v/>
      </c>
      <c r="B270" t="str" cm="1">
        <f t="array" aca="1" ref="B270" ca="1">IF(OR(INDIRECT(C$26&amp;"!B"&amp;(ROW()-C$32+C$31))="",$C$1="M2"),"",1+ROW(B270)-C$32)</f>
        <v/>
      </c>
      <c r="C270" t="str" cm="1">
        <f t="array" aca="1" ref="C270" ca="1">IF(ROW()&gt;(C$33+C$32-C$31),"",GammaSelfNext(C$29,INDIRECT(C$26&amp;"!A"&amp;ROW()-C$32+C$31&amp;":F"&amp;ROW()-C$32+C$31),C269))</f>
        <v/>
      </c>
      <c r="D270" t="e">
        <f t="shared" ca="1" si="10"/>
        <v>#N/A</v>
      </c>
      <c r="E270" t="e">
        <f t="shared" ca="1" si="11"/>
        <v>#N/A</v>
      </c>
    </row>
    <row r="271" spans="1:5" x14ac:dyDescent="0.3">
      <c r="A271" t="str" cm="1">
        <f t="array" aca="1" ref="A271" ca="1">IF(OR(INDIRECT($C$26&amp;"!B"&amp;(ROW()-$C$32+$C$31))="",$C$1="M2"),"",1+ROW(A271)-$C$32)</f>
        <v/>
      </c>
      <c r="B271" t="str" cm="1">
        <f t="array" aca="1" ref="B271" ca="1">IF(OR(INDIRECT(C$26&amp;"!B"&amp;(ROW()-C$32+C$31))="",$C$1="M2"),"",1+ROW(B271)-C$32)</f>
        <v/>
      </c>
      <c r="C271" t="str" cm="1">
        <f t="array" aca="1" ref="C271" ca="1">IF(ROW()&gt;(C$33+C$32-C$31),"",GammaSelfNext(C$29,INDIRECT(C$26&amp;"!A"&amp;ROW()-C$32+C$31&amp;":F"&amp;ROW()-C$32+C$31),C270))</f>
        <v/>
      </c>
      <c r="D271" t="e">
        <f t="shared" ca="1" si="10"/>
        <v>#N/A</v>
      </c>
      <c r="E271" t="e">
        <f t="shared" ca="1" si="11"/>
        <v>#N/A</v>
      </c>
    </row>
    <row r="272" spans="1:5" x14ac:dyDescent="0.3">
      <c r="A272" t="str" cm="1">
        <f t="array" aca="1" ref="A272" ca="1">IF(OR(INDIRECT($C$26&amp;"!B"&amp;(ROW()-$C$32+$C$31))="",$C$1="M2"),"",1+ROW(A272)-$C$32)</f>
        <v/>
      </c>
      <c r="B272" t="str" cm="1">
        <f t="array" aca="1" ref="B272" ca="1">IF(OR(INDIRECT(C$26&amp;"!B"&amp;(ROW()-C$32+C$31))="",$C$1="M2"),"",1+ROW(B272)-C$32)</f>
        <v/>
      </c>
      <c r="C272" t="str" cm="1">
        <f t="array" aca="1" ref="C272" ca="1">IF(ROW()&gt;(C$33+C$32-C$31),"",GammaSelfNext(C$29,INDIRECT(C$26&amp;"!A"&amp;ROW()-C$32+C$31&amp;":F"&amp;ROW()-C$32+C$31),C271))</f>
        <v/>
      </c>
      <c r="D272" t="e">
        <f t="shared" ca="1" si="10"/>
        <v>#N/A</v>
      </c>
      <c r="E272" t="e">
        <f t="shared" ca="1" si="11"/>
        <v>#N/A</v>
      </c>
    </row>
    <row r="273" spans="1:5" x14ac:dyDescent="0.3">
      <c r="A273" t="str" cm="1">
        <f t="array" aca="1" ref="A273" ca="1">IF(OR(INDIRECT($C$26&amp;"!B"&amp;(ROW()-$C$32+$C$31))="",$C$1="M2"),"",1+ROW(A273)-$C$32)</f>
        <v/>
      </c>
      <c r="B273" t="str" cm="1">
        <f t="array" aca="1" ref="B273" ca="1">IF(OR(INDIRECT(C$26&amp;"!B"&amp;(ROW()-C$32+C$31))="",$C$1="M2"),"",1+ROW(B273)-C$32)</f>
        <v/>
      </c>
      <c r="C273" t="str" cm="1">
        <f t="array" aca="1" ref="C273" ca="1">IF(ROW()&gt;(C$33+C$32-C$31),"",GammaSelfNext(C$29,INDIRECT(C$26&amp;"!A"&amp;ROW()-C$32+C$31&amp;":F"&amp;ROW()-C$32+C$31),C272))</f>
        <v/>
      </c>
      <c r="D273" t="e">
        <f t="shared" ca="1" si="10"/>
        <v>#N/A</v>
      </c>
      <c r="E273" t="e">
        <f t="shared" ca="1" si="11"/>
        <v>#N/A</v>
      </c>
    </row>
    <row r="274" spans="1:5" x14ac:dyDescent="0.3">
      <c r="A274" t="str" cm="1">
        <f t="array" aca="1" ref="A274" ca="1">IF(OR(INDIRECT($C$26&amp;"!B"&amp;(ROW()-$C$32+$C$31))="",$C$1="M2"),"",1+ROW(A274)-$C$32)</f>
        <v/>
      </c>
      <c r="B274" t="str" cm="1">
        <f t="array" aca="1" ref="B274" ca="1">IF(OR(INDIRECT(C$26&amp;"!B"&amp;(ROW()-C$32+C$31))="",$C$1="M2"),"",1+ROW(B274)-C$32)</f>
        <v/>
      </c>
      <c r="C274" t="str" cm="1">
        <f t="array" aca="1" ref="C274" ca="1">IF(ROW()&gt;(C$33+C$32-C$31),"",GammaSelfNext(C$29,INDIRECT(C$26&amp;"!A"&amp;ROW()-C$32+C$31&amp;":F"&amp;ROW()-C$32+C$31),C273))</f>
        <v/>
      </c>
      <c r="D274" t="e">
        <f t="shared" ca="1" si="10"/>
        <v>#N/A</v>
      </c>
      <c r="E274" t="e">
        <f t="shared" ca="1" si="11"/>
        <v>#N/A</v>
      </c>
    </row>
    <row r="275" spans="1:5" x14ac:dyDescent="0.3">
      <c r="A275" t="str" cm="1">
        <f t="array" aca="1" ref="A275" ca="1">IF(OR(INDIRECT($C$26&amp;"!B"&amp;(ROW()-$C$32+$C$31))="",$C$1="M2"),"",1+ROW(A275)-$C$32)</f>
        <v/>
      </c>
      <c r="B275" t="str" cm="1">
        <f t="array" aca="1" ref="B275" ca="1">IF(OR(INDIRECT(C$26&amp;"!B"&amp;(ROW()-C$32+C$31))="",$C$1="M2"),"",1+ROW(B275)-C$32)</f>
        <v/>
      </c>
      <c r="C275" t="str" cm="1">
        <f t="array" aca="1" ref="C275" ca="1">IF(ROW()&gt;(C$33+C$32-C$31),"",GammaSelfNext(C$29,INDIRECT(C$26&amp;"!A"&amp;ROW()-C$32+C$31&amp;":F"&amp;ROW()-C$32+C$31),C274))</f>
        <v/>
      </c>
      <c r="D275" t="e">
        <f t="shared" ca="1" si="10"/>
        <v>#N/A</v>
      </c>
      <c r="E275" t="e">
        <f t="shared" ca="1" si="11"/>
        <v>#N/A</v>
      </c>
    </row>
    <row r="276" spans="1:5" x14ac:dyDescent="0.3">
      <c r="A276" t="str" cm="1">
        <f t="array" aca="1" ref="A276" ca="1">IF(OR(INDIRECT($C$26&amp;"!B"&amp;(ROW()-$C$32+$C$31))="",$C$1="M2"),"",1+ROW(A276)-$C$32)</f>
        <v/>
      </c>
      <c r="B276" t="str" cm="1">
        <f t="array" aca="1" ref="B276" ca="1">IF(OR(INDIRECT(C$26&amp;"!B"&amp;(ROW()-C$32+C$31))="",$C$1="M2"),"",1+ROW(B276)-C$32)</f>
        <v/>
      </c>
      <c r="C276" t="str" cm="1">
        <f t="array" aca="1" ref="C276" ca="1">IF(ROW()&gt;(C$33+C$32-C$31),"",GammaSelfNext(C$29,INDIRECT(C$26&amp;"!A"&amp;ROW()-C$32+C$31&amp;":F"&amp;ROW()-C$32+C$31),C275))</f>
        <v/>
      </c>
      <c r="D276" t="e">
        <f t="shared" ca="1" si="10"/>
        <v>#N/A</v>
      </c>
      <c r="E276" t="e">
        <f t="shared" ca="1" si="11"/>
        <v>#N/A</v>
      </c>
    </row>
    <row r="277" spans="1:5" x14ac:dyDescent="0.3">
      <c r="A277" t="str" cm="1">
        <f t="array" aca="1" ref="A277" ca="1">IF(OR(INDIRECT($C$26&amp;"!B"&amp;(ROW()-$C$32+$C$31))="",$C$1="M2"),"",1+ROW(A277)-$C$32)</f>
        <v/>
      </c>
      <c r="B277" t="str" cm="1">
        <f t="array" aca="1" ref="B277" ca="1">IF(OR(INDIRECT(C$26&amp;"!B"&amp;(ROW()-C$32+C$31))="",$C$1="M2"),"",1+ROW(B277)-C$32)</f>
        <v/>
      </c>
      <c r="C277" t="str" cm="1">
        <f t="array" aca="1" ref="C277" ca="1">IF(ROW()&gt;(C$33+C$32-C$31),"",GammaSelfNext(C$29,INDIRECT(C$26&amp;"!A"&amp;ROW()-C$32+C$31&amp;":F"&amp;ROW()-C$32+C$31),C276))</f>
        <v/>
      </c>
      <c r="D277" t="e">
        <f t="shared" ca="1" si="10"/>
        <v>#N/A</v>
      </c>
      <c r="E277" t="e">
        <f t="shared" ca="1" si="11"/>
        <v>#N/A</v>
      </c>
    </row>
    <row r="278" spans="1:5" x14ac:dyDescent="0.3">
      <c r="A278" t="str" cm="1">
        <f t="array" aca="1" ref="A278" ca="1">IF(OR(INDIRECT($C$26&amp;"!B"&amp;(ROW()-$C$32+$C$31))="",$C$1="M2"),"",1+ROW(A278)-$C$32)</f>
        <v/>
      </c>
      <c r="B278" t="str" cm="1">
        <f t="array" aca="1" ref="B278" ca="1">IF(OR(INDIRECT(C$26&amp;"!B"&amp;(ROW()-C$32+C$31))="",$C$1="M2"),"",1+ROW(B278)-C$32)</f>
        <v/>
      </c>
      <c r="C278" t="str" cm="1">
        <f t="array" aca="1" ref="C278" ca="1">IF(ROW()&gt;(C$33+C$32-C$31),"",GammaSelfNext(C$29,INDIRECT(C$26&amp;"!A"&amp;ROW()-C$32+C$31&amp;":F"&amp;ROW()-C$32+C$31),C277))</f>
        <v/>
      </c>
      <c r="D278" t="e">
        <f t="shared" ca="1" si="10"/>
        <v>#N/A</v>
      </c>
      <c r="E278" t="e">
        <f t="shared" ca="1" si="11"/>
        <v>#N/A</v>
      </c>
    </row>
    <row r="279" spans="1:5" x14ac:dyDescent="0.3">
      <c r="A279" t="str" cm="1">
        <f t="array" aca="1" ref="A279" ca="1">IF(OR(INDIRECT($C$26&amp;"!B"&amp;(ROW()-$C$32+$C$31))="",$C$1="M2"),"",1+ROW(A279)-$C$32)</f>
        <v/>
      </c>
      <c r="B279" t="str" cm="1">
        <f t="array" aca="1" ref="B279" ca="1">IF(OR(INDIRECT(C$26&amp;"!B"&amp;(ROW()-C$32+C$31))="",$C$1="M2"),"",1+ROW(B279)-C$32)</f>
        <v/>
      </c>
      <c r="C279" t="str" cm="1">
        <f t="array" aca="1" ref="C279" ca="1">IF(ROW()&gt;(C$33+C$32-C$31),"",GammaSelfNext(C$29,INDIRECT(C$26&amp;"!A"&amp;ROW()-C$32+C$31&amp;":F"&amp;ROW()-C$32+C$31),C278))</f>
        <v/>
      </c>
      <c r="D279" t="e">
        <f t="shared" ca="1" si="10"/>
        <v>#N/A</v>
      </c>
      <c r="E279" t="e">
        <f t="shared" ca="1" si="11"/>
        <v>#N/A</v>
      </c>
    </row>
    <row r="280" spans="1:5" x14ac:dyDescent="0.3">
      <c r="A280" t="str" cm="1">
        <f t="array" aca="1" ref="A280" ca="1">IF(OR(INDIRECT($C$26&amp;"!B"&amp;(ROW()-$C$32+$C$31))="",$C$1="M2"),"",1+ROW(A280)-$C$32)</f>
        <v/>
      </c>
      <c r="B280" t="str" cm="1">
        <f t="array" aca="1" ref="B280" ca="1">IF(OR(INDIRECT(C$26&amp;"!B"&amp;(ROW()-C$32+C$31))="",$C$1="M2"),"",1+ROW(B280)-C$32)</f>
        <v/>
      </c>
      <c r="C280" t="str" cm="1">
        <f t="array" aca="1" ref="C280" ca="1">IF(ROW()&gt;(C$33+C$32-C$31),"",GammaSelfNext(C$29,INDIRECT(C$26&amp;"!A"&amp;ROW()-C$32+C$31&amp;":F"&amp;ROW()-C$32+C$31),C279))</f>
        <v/>
      </c>
      <c r="D280" t="e">
        <f t="shared" ca="1" si="10"/>
        <v>#N/A</v>
      </c>
      <c r="E280" t="e">
        <f t="shared" ca="1" si="11"/>
        <v>#N/A</v>
      </c>
    </row>
    <row r="281" spans="1:5" x14ac:dyDescent="0.3">
      <c r="A281" t="str" cm="1">
        <f t="array" aca="1" ref="A281" ca="1">IF(OR(INDIRECT($C$26&amp;"!B"&amp;(ROW()-$C$32+$C$31))="",$C$1="M2"),"",1+ROW(A281)-$C$32)</f>
        <v/>
      </c>
      <c r="B281" t="str" cm="1">
        <f t="array" aca="1" ref="B281" ca="1">IF(OR(INDIRECT(C$26&amp;"!B"&amp;(ROW()-C$32+C$31))="",$C$1="M2"),"",1+ROW(B281)-C$32)</f>
        <v/>
      </c>
      <c r="C281" t="str" cm="1">
        <f t="array" aca="1" ref="C281" ca="1">IF(ROW()&gt;(C$33+C$32-C$31),"",GammaSelfNext(C$29,INDIRECT(C$26&amp;"!A"&amp;ROW()-C$32+C$31&amp;":F"&amp;ROW()-C$32+C$31),C280))</f>
        <v/>
      </c>
      <c r="D281" t="e">
        <f t="shared" ca="1" si="10"/>
        <v>#N/A</v>
      </c>
      <c r="E281" t="e">
        <f t="shared" ca="1" si="11"/>
        <v>#N/A</v>
      </c>
    </row>
    <row r="282" spans="1:5" x14ac:dyDescent="0.3">
      <c r="A282" t="str" cm="1">
        <f t="array" aca="1" ref="A282" ca="1">IF(OR(INDIRECT($C$26&amp;"!B"&amp;(ROW()-$C$32+$C$31))="",$C$1="M2"),"",1+ROW(A282)-$C$32)</f>
        <v/>
      </c>
      <c r="B282" t="str" cm="1">
        <f t="array" aca="1" ref="B282" ca="1">IF(OR(INDIRECT(C$26&amp;"!B"&amp;(ROW()-C$32+C$31))="",$C$1="M2"),"",1+ROW(B282)-C$32)</f>
        <v/>
      </c>
      <c r="C282" t="str" cm="1">
        <f t="array" aca="1" ref="C282" ca="1">IF(ROW()&gt;(C$33+C$32-C$31),"",GammaSelfNext(C$29,INDIRECT(C$26&amp;"!A"&amp;ROW()-C$32+C$31&amp;":F"&amp;ROW()-C$32+C$31),C281))</f>
        <v/>
      </c>
      <c r="D282" t="e">
        <f t="shared" ca="1" si="10"/>
        <v>#N/A</v>
      </c>
      <c r="E282" t="e">
        <f t="shared" ca="1" si="11"/>
        <v>#N/A</v>
      </c>
    </row>
    <row r="283" spans="1:5" x14ac:dyDescent="0.3">
      <c r="A283" t="str" cm="1">
        <f t="array" aca="1" ref="A283" ca="1">IF(OR(INDIRECT($C$26&amp;"!B"&amp;(ROW()-$C$32+$C$31))="",$C$1="M2"),"",1+ROW(A283)-$C$32)</f>
        <v/>
      </c>
      <c r="B283" t="str" cm="1">
        <f t="array" aca="1" ref="B283" ca="1">IF(OR(INDIRECT(C$26&amp;"!B"&amp;(ROW()-C$32+C$31))="",$C$1="M2"),"",1+ROW(B283)-C$32)</f>
        <v/>
      </c>
      <c r="C283" t="str" cm="1">
        <f t="array" aca="1" ref="C283" ca="1">IF(ROW()&gt;(C$33+C$32-C$31),"",GammaSelfNext(C$29,INDIRECT(C$26&amp;"!A"&amp;ROW()-C$32+C$31&amp;":F"&amp;ROW()-C$32+C$31),C282))</f>
        <v/>
      </c>
      <c r="D283" t="e">
        <f t="shared" ca="1" si="10"/>
        <v>#N/A</v>
      </c>
      <c r="E283" t="e">
        <f t="shared" ca="1" si="11"/>
        <v>#N/A</v>
      </c>
    </row>
    <row r="284" spans="1:5" x14ac:dyDescent="0.3">
      <c r="A284" t="str" cm="1">
        <f t="array" aca="1" ref="A284" ca="1">IF(OR(INDIRECT($C$26&amp;"!B"&amp;(ROW()-$C$32+$C$31))="",$C$1="M2"),"",1+ROW(A284)-$C$32)</f>
        <v/>
      </c>
      <c r="B284" t="str" cm="1">
        <f t="array" aca="1" ref="B284" ca="1">IF(OR(INDIRECT(C$26&amp;"!B"&amp;(ROW()-C$32+C$31))="",$C$1="M2"),"",1+ROW(B284)-C$32)</f>
        <v/>
      </c>
      <c r="C284" t="str" cm="1">
        <f t="array" aca="1" ref="C284" ca="1">IF(ROW()&gt;(C$33+C$32-C$31),"",GammaSelfNext(C$29,INDIRECT(C$26&amp;"!A"&amp;ROW()-C$32+C$31&amp;":F"&amp;ROW()-C$32+C$31),C283))</f>
        <v/>
      </c>
      <c r="D284" t="e">
        <f t="shared" ca="1" si="10"/>
        <v>#N/A</v>
      </c>
      <c r="E284" t="e">
        <f t="shared" ca="1" si="11"/>
        <v>#N/A</v>
      </c>
    </row>
    <row r="285" spans="1:5" x14ac:dyDescent="0.3">
      <c r="A285" t="str" cm="1">
        <f t="array" aca="1" ref="A285" ca="1">IF(OR(INDIRECT($C$26&amp;"!B"&amp;(ROW()-$C$32+$C$31))="",$C$1="M2"),"",1+ROW(A285)-$C$32)</f>
        <v/>
      </c>
      <c r="B285" t="str" cm="1">
        <f t="array" aca="1" ref="B285" ca="1">IF(OR(INDIRECT(C$26&amp;"!B"&amp;(ROW()-C$32+C$31))="",$C$1="M2"),"",1+ROW(B285)-C$32)</f>
        <v/>
      </c>
      <c r="C285" t="str" cm="1">
        <f t="array" aca="1" ref="C285" ca="1">IF(ROW()&gt;(C$33+C$32-C$31),"",GammaSelfNext(C$29,INDIRECT(C$26&amp;"!A"&amp;ROW()-C$32+C$31&amp;":F"&amp;ROW()-C$32+C$31),C284))</f>
        <v/>
      </c>
      <c r="D285" t="e">
        <f t="shared" ca="1" si="10"/>
        <v>#N/A</v>
      </c>
      <c r="E285" t="e">
        <f t="shared" ca="1" si="11"/>
        <v>#N/A</v>
      </c>
    </row>
    <row r="286" spans="1:5" x14ac:dyDescent="0.3">
      <c r="A286" t="str" cm="1">
        <f t="array" aca="1" ref="A286" ca="1">IF(OR(INDIRECT($C$26&amp;"!B"&amp;(ROW()-$C$32+$C$31))="",$C$1="M2"),"",1+ROW(A286)-$C$32)</f>
        <v/>
      </c>
      <c r="B286" t="str" cm="1">
        <f t="array" aca="1" ref="B286" ca="1">IF(OR(INDIRECT(C$26&amp;"!B"&amp;(ROW()-C$32+C$31))="",$C$1="M2"),"",1+ROW(B286)-C$32)</f>
        <v/>
      </c>
      <c r="C286" t="str" cm="1">
        <f t="array" aca="1" ref="C286" ca="1">IF(ROW()&gt;(C$33+C$32-C$31),"",GammaSelfNext(C$29,INDIRECT(C$26&amp;"!A"&amp;ROW()-C$32+C$31&amp;":F"&amp;ROW()-C$32+C$31),C285))</f>
        <v/>
      </c>
      <c r="D286" t="e">
        <f t="shared" ca="1" si="10"/>
        <v>#N/A</v>
      </c>
      <c r="E286" t="e">
        <f t="shared" ca="1" si="11"/>
        <v>#N/A</v>
      </c>
    </row>
    <row r="287" spans="1:5" x14ac:dyDescent="0.3">
      <c r="A287" t="str" cm="1">
        <f t="array" aca="1" ref="A287" ca="1">IF(OR(INDIRECT($C$26&amp;"!B"&amp;(ROW()-$C$32+$C$31))="",$C$1="M2"),"",1+ROW(A287)-$C$32)</f>
        <v/>
      </c>
      <c r="B287" t="str" cm="1">
        <f t="array" aca="1" ref="B287" ca="1">IF(OR(INDIRECT(C$26&amp;"!B"&amp;(ROW()-C$32+C$31))="",$C$1="M2"),"",1+ROW(B287)-C$32)</f>
        <v/>
      </c>
      <c r="C287" t="str" cm="1">
        <f t="array" aca="1" ref="C287" ca="1">IF(ROW()&gt;(C$33+C$32-C$31),"",GammaSelfNext(C$29,INDIRECT(C$26&amp;"!A"&amp;ROW()-C$32+C$31&amp;":F"&amp;ROW()-C$32+C$31),C286))</f>
        <v/>
      </c>
      <c r="D287" t="e">
        <f t="shared" ca="1" si="10"/>
        <v>#N/A</v>
      </c>
      <c r="E287" t="e">
        <f t="shared" ca="1" si="11"/>
        <v>#N/A</v>
      </c>
    </row>
    <row r="288" spans="1:5" x14ac:dyDescent="0.3">
      <c r="A288" t="str" cm="1">
        <f t="array" aca="1" ref="A288" ca="1">IF(OR(INDIRECT($C$26&amp;"!B"&amp;(ROW()-$C$32+$C$31))="",$C$1="M2"),"",1+ROW(A288)-$C$32)</f>
        <v/>
      </c>
      <c r="B288" t="str" cm="1">
        <f t="array" aca="1" ref="B288" ca="1">IF(OR(INDIRECT(C$26&amp;"!B"&amp;(ROW()-C$32+C$31))="",$C$1="M2"),"",1+ROW(B288)-C$32)</f>
        <v/>
      </c>
      <c r="C288" t="str" cm="1">
        <f t="array" aca="1" ref="C288" ca="1">IF(ROW()&gt;(C$33+C$32-C$31),"",GammaSelfNext(C$29,INDIRECT(C$26&amp;"!A"&amp;ROW()-C$32+C$31&amp;":F"&amp;ROW()-C$32+C$31),C287))</f>
        <v/>
      </c>
      <c r="D288" t="e">
        <f t="shared" ca="1" si="10"/>
        <v>#N/A</v>
      </c>
      <c r="E288" t="e">
        <f t="shared" ca="1" si="11"/>
        <v>#N/A</v>
      </c>
    </row>
    <row r="289" spans="1:5" x14ac:dyDescent="0.3">
      <c r="A289" t="str" cm="1">
        <f t="array" aca="1" ref="A289" ca="1">IF(OR(INDIRECT($C$26&amp;"!B"&amp;(ROW()-$C$32+$C$31))="",$C$1="M2"),"",1+ROW(A289)-$C$32)</f>
        <v/>
      </c>
      <c r="B289" t="str" cm="1">
        <f t="array" aca="1" ref="B289" ca="1">IF(OR(INDIRECT(C$26&amp;"!B"&amp;(ROW()-C$32+C$31))="",$C$1="M2"),"",1+ROW(B289)-C$32)</f>
        <v/>
      </c>
      <c r="C289" t="str" cm="1">
        <f t="array" aca="1" ref="C289" ca="1">IF(ROW()&gt;(C$33+C$32-C$31),"",GammaSelfNext(C$29,INDIRECT(C$26&amp;"!A"&amp;ROW()-C$32+C$31&amp;":F"&amp;ROW()-C$32+C$31),C288))</f>
        <v/>
      </c>
      <c r="D289" t="e">
        <f t="shared" ca="1" si="10"/>
        <v>#N/A</v>
      </c>
      <c r="E289" t="e">
        <f t="shared" ca="1" si="11"/>
        <v>#N/A</v>
      </c>
    </row>
    <row r="290" spans="1:5" x14ac:dyDescent="0.3">
      <c r="A290" t="str" cm="1">
        <f t="array" aca="1" ref="A290" ca="1">IF(OR(INDIRECT($C$26&amp;"!B"&amp;(ROW()-$C$32+$C$31))="",$C$1="M2"),"",1+ROW(A290)-$C$32)</f>
        <v/>
      </c>
      <c r="B290" t="str" cm="1">
        <f t="array" aca="1" ref="B290" ca="1">IF(OR(INDIRECT(C$26&amp;"!B"&amp;(ROW()-C$32+C$31))="",$C$1="M2"),"",1+ROW(B290)-C$32)</f>
        <v/>
      </c>
      <c r="C290" t="str" cm="1">
        <f t="array" aca="1" ref="C290" ca="1">IF(ROW()&gt;(C$33+C$32-C$31),"",GammaSelfNext(C$29,INDIRECT(C$26&amp;"!A"&amp;ROW()-C$32+C$31&amp;":F"&amp;ROW()-C$32+C$31),C289))</f>
        <v/>
      </c>
      <c r="D290" t="e">
        <f t="shared" ca="1" si="10"/>
        <v>#N/A</v>
      </c>
      <c r="E290" t="e">
        <f t="shared" ca="1" si="11"/>
        <v>#N/A</v>
      </c>
    </row>
    <row r="291" spans="1:5" x14ac:dyDescent="0.3">
      <c r="A291" t="str" cm="1">
        <f t="array" aca="1" ref="A291" ca="1">IF(OR(INDIRECT($C$26&amp;"!B"&amp;(ROW()-$C$32+$C$31))="",$C$1="M2"),"",1+ROW(A291)-$C$32)</f>
        <v/>
      </c>
      <c r="B291" t="str" cm="1">
        <f t="array" aca="1" ref="B291" ca="1">IF(OR(INDIRECT(C$26&amp;"!B"&amp;(ROW()-C$32+C$31))="",$C$1="M2"),"",1+ROW(B291)-C$32)</f>
        <v/>
      </c>
      <c r="C291" t="str" cm="1">
        <f t="array" aca="1" ref="C291" ca="1">IF(ROW()&gt;(C$33+C$32-C$31),"",GammaSelfNext(C$29,INDIRECT(C$26&amp;"!A"&amp;ROW()-C$32+C$31&amp;":F"&amp;ROW()-C$32+C$31),C290))</f>
        <v/>
      </c>
      <c r="D291" t="e">
        <f t="shared" ca="1" si="10"/>
        <v>#N/A</v>
      </c>
      <c r="E291" t="e">
        <f t="shared" ca="1" si="11"/>
        <v>#N/A</v>
      </c>
    </row>
    <row r="292" spans="1:5" x14ac:dyDescent="0.3">
      <c r="A292" t="str" cm="1">
        <f t="array" aca="1" ref="A292" ca="1">IF(OR(INDIRECT($C$26&amp;"!B"&amp;(ROW()-$C$32+$C$31))="",$C$1="M2"),"",1+ROW(A292)-$C$32)</f>
        <v/>
      </c>
      <c r="B292" t="str" cm="1">
        <f t="array" aca="1" ref="B292" ca="1">IF(OR(INDIRECT(C$26&amp;"!B"&amp;(ROW()-C$32+C$31))="",$C$1="M2"),"",1+ROW(B292)-C$32)</f>
        <v/>
      </c>
      <c r="C292" t="str" cm="1">
        <f t="array" aca="1" ref="C292" ca="1">IF(ROW()&gt;(C$33+C$32-C$31),"",GammaSelfNext(C$29,INDIRECT(C$26&amp;"!A"&amp;ROW()-C$32+C$31&amp;":F"&amp;ROW()-C$32+C$31),C291))</f>
        <v/>
      </c>
      <c r="D292" t="e">
        <f t="shared" ca="1" si="10"/>
        <v>#N/A</v>
      </c>
      <c r="E292" t="e">
        <f t="shared" ca="1" si="11"/>
        <v>#N/A</v>
      </c>
    </row>
    <row r="293" spans="1:5" x14ac:dyDescent="0.3">
      <c r="A293" t="str" cm="1">
        <f t="array" aca="1" ref="A293" ca="1">IF(OR(INDIRECT($C$26&amp;"!B"&amp;(ROW()-$C$32+$C$31))="",$C$1="M2"),"",1+ROW(A293)-$C$32)</f>
        <v/>
      </c>
      <c r="B293" t="str" cm="1">
        <f t="array" aca="1" ref="B293" ca="1">IF(OR(INDIRECT(C$26&amp;"!B"&amp;(ROW()-C$32+C$31))="",$C$1="M2"),"",1+ROW(B293)-C$32)</f>
        <v/>
      </c>
      <c r="C293" t="str" cm="1">
        <f t="array" aca="1" ref="C293" ca="1">IF(ROW()&gt;(C$33+C$32-C$31),"",GammaSelfNext(C$29,INDIRECT(C$26&amp;"!A"&amp;ROW()-C$32+C$31&amp;":F"&amp;ROW()-C$32+C$31),C292))</f>
        <v/>
      </c>
      <c r="D293" t="e">
        <f t="shared" ca="1" si="10"/>
        <v>#N/A</v>
      </c>
      <c r="E293" t="e">
        <f t="shared" ca="1" si="11"/>
        <v>#N/A</v>
      </c>
    </row>
    <row r="294" spans="1:5" x14ac:dyDescent="0.3">
      <c r="A294" t="str" cm="1">
        <f t="array" aca="1" ref="A294" ca="1">IF(OR(INDIRECT($C$26&amp;"!B"&amp;(ROW()-$C$32+$C$31))="",$C$1="M2"),"",1+ROW(A294)-$C$32)</f>
        <v/>
      </c>
      <c r="B294" t="str" cm="1">
        <f t="array" aca="1" ref="B294" ca="1">IF(OR(INDIRECT(C$26&amp;"!B"&amp;(ROW()-C$32+C$31))="",$C$1="M2"),"",1+ROW(B294)-C$32)</f>
        <v/>
      </c>
      <c r="C294" t="str" cm="1">
        <f t="array" aca="1" ref="C294" ca="1">IF(ROW()&gt;(C$33+C$32-C$31),"",GammaSelfNext(C$29,INDIRECT(C$26&amp;"!A"&amp;ROW()-C$32+C$31&amp;":F"&amp;ROW()-C$32+C$31),C293))</f>
        <v/>
      </c>
      <c r="D294" t="e">
        <f t="shared" ca="1" si="10"/>
        <v>#N/A</v>
      </c>
      <c r="E294" t="e">
        <f t="shared" ca="1" si="11"/>
        <v>#N/A</v>
      </c>
    </row>
    <row r="295" spans="1:5" x14ac:dyDescent="0.3">
      <c r="A295" t="str" cm="1">
        <f t="array" aca="1" ref="A295" ca="1">IF(OR(INDIRECT($C$26&amp;"!B"&amp;(ROW()-$C$32+$C$31))="",$C$1="M2"),"",1+ROW(A295)-$C$32)</f>
        <v/>
      </c>
      <c r="B295" t="str" cm="1">
        <f t="array" aca="1" ref="B295" ca="1">IF(OR(INDIRECT(C$26&amp;"!B"&amp;(ROW()-C$32+C$31))="",$C$1="M2"),"",1+ROW(B295)-C$32)</f>
        <v/>
      </c>
      <c r="C295" t="str" cm="1">
        <f t="array" aca="1" ref="C295" ca="1">IF(ROW()&gt;(C$33+C$32-C$31),"",GammaSelfNext(C$29,INDIRECT(C$26&amp;"!A"&amp;ROW()-C$32+C$31&amp;":F"&amp;ROW()-C$32+C$31),C294))</f>
        <v/>
      </c>
      <c r="D295" t="e">
        <f t="shared" ca="1" si="10"/>
        <v>#N/A</v>
      </c>
      <c r="E295" t="e">
        <f t="shared" ca="1" si="11"/>
        <v>#N/A</v>
      </c>
    </row>
    <row r="296" spans="1:5" x14ac:dyDescent="0.3">
      <c r="A296" t="str" cm="1">
        <f t="array" aca="1" ref="A296" ca="1">IF(OR(INDIRECT($C$26&amp;"!B"&amp;(ROW()-$C$32+$C$31))="",$C$1="M2"),"",1+ROW(A296)-$C$32)</f>
        <v/>
      </c>
      <c r="B296" t="str" cm="1">
        <f t="array" aca="1" ref="B296" ca="1">IF(OR(INDIRECT(C$26&amp;"!B"&amp;(ROW()-C$32+C$31))="",$C$1="M2"),"",1+ROW(B296)-C$32)</f>
        <v/>
      </c>
      <c r="C296" t="str" cm="1">
        <f t="array" aca="1" ref="C296" ca="1">IF(ROW()&gt;(C$33+C$32-C$31),"",GammaSelfNext(C$29,INDIRECT(C$26&amp;"!A"&amp;ROW()-C$32+C$31&amp;":F"&amp;ROW()-C$32+C$31),C295))</f>
        <v/>
      </c>
      <c r="D296" t="e">
        <f t="shared" ca="1" si="10"/>
        <v>#N/A</v>
      </c>
      <c r="E296" t="e">
        <f t="shared" ca="1" si="11"/>
        <v>#N/A</v>
      </c>
    </row>
    <row r="297" spans="1:5" x14ac:dyDescent="0.3">
      <c r="A297" t="str" cm="1">
        <f t="array" aca="1" ref="A297" ca="1">IF(OR(INDIRECT($C$26&amp;"!B"&amp;(ROW()-$C$32+$C$31))="",$C$1="M2"),"",1+ROW(A297)-$C$32)</f>
        <v/>
      </c>
      <c r="B297" t="str" cm="1">
        <f t="array" aca="1" ref="B297" ca="1">IF(OR(INDIRECT(C$26&amp;"!B"&amp;(ROW()-C$32+C$31))="",$C$1="M2"),"",1+ROW(B297)-C$32)</f>
        <v/>
      </c>
      <c r="C297" t="str" cm="1">
        <f t="array" aca="1" ref="C297" ca="1">IF(ROW()&gt;(C$33+C$32-C$31),"",GammaSelfNext(C$29,INDIRECT(C$26&amp;"!A"&amp;ROW()-C$32+C$31&amp;":F"&amp;ROW()-C$32+C$31),C296))</f>
        <v/>
      </c>
      <c r="D297" t="e">
        <f t="shared" ref="D297:D360" ca="1" si="12">IF(C297="",NA(),IMREAL(C297))</f>
        <v>#N/A</v>
      </c>
      <c r="E297" t="e">
        <f t="shared" ref="E297:E360" ca="1" si="13">IF(C297="",NA(),IMAGINARY(C297))</f>
        <v>#N/A</v>
      </c>
    </row>
    <row r="298" spans="1:5" x14ac:dyDescent="0.3">
      <c r="A298" t="str" cm="1">
        <f t="array" aca="1" ref="A298" ca="1">IF(OR(INDIRECT($C$26&amp;"!B"&amp;(ROW()-$C$32+$C$31))="",$C$1="M2"),"",1+ROW(A298)-$C$32)</f>
        <v/>
      </c>
      <c r="B298" t="str" cm="1">
        <f t="array" aca="1" ref="B298" ca="1">IF(OR(INDIRECT(C$26&amp;"!B"&amp;(ROW()-C$32+C$31))="",$C$1="M2"),"",1+ROW(B298)-C$32)</f>
        <v/>
      </c>
      <c r="C298" t="str" cm="1">
        <f t="array" aca="1" ref="C298" ca="1">IF(ROW()&gt;(C$33+C$32-C$31),"",GammaSelfNext(C$29,INDIRECT(C$26&amp;"!A"&amp;ROW()-C$32+C$31&amp;":F"&amp;ROW()-C$32+C$31),C297))</f>
        <v/>
      </c>
      <c r="D298" t="e">
        <f t="shared" ca="1" si="12"/>
        <v>#N/A</v>
      </c>
      <c r="E298" t="e">
        <f t="shared" ca="1" si="13"/>
        <v>#N/A</v>
      </c>
    </row>
    <row r="299" spans="1:5" x14ac:dyDescent="0.3">
      <c r="A299" t="str" cm="1">
        <f t="array" aca="1" ref="A299" ca="1">IF(OR(INDIRECT($C$26&amp;"!B"&amp;(ROW()-$C$32+$C$31))="",$C$1="M2"),"",1+ROW(A299)-$C$32)</f>
        <v/>
      </c>
      <c r="B299" t="str" cm="1">
        <f t="array" aca="1" ref="B299" ca="1">IF(OR(INDIRECT(C$26&amp;"!B"&amp;(ROW()-C$32+C$31))="",$C$1="M2"),"",1+ROW(B299)-C$32)</f>
        <v/>
      </c>
      <c r="C299" t="str" cm="1">
        <f t="array" aca="1" ref="C299" ca="1">IF(ROW()&gt;(C$33+C$32-C$31),"",GammaSelfNext(C$29,INDIRECT(C$26&amp;"!A"&amp;ROW()-C$32+C$31&amp;":F"&amp;ROW()-C$32+C$31),C298))</f>
        <v/>
      </c>
      <c r="D299" t="e">
        <f t="shared" ca="1" si="12"/>
        <v>#N/A</v>
      </c>
      <c r="E299" t="e">
        <f t="shared" ca="1" si="13"/>
        <v>#N/A</v>
      </c>
    </row>
    <row r="300" spans="1:5" x14ac:dyDescent="0.3">
      <c r="A300" t="str" cm="1">
        <f t="array" aca="1" ref="A300" ca="1">IF(OR(INDIRECT($C$26&amp;"!B"&amp;(ROW()-$C$32+$C$31))="",$C$1="M2"),"",1+ROW(A300)-$C$32)</f>
        <v/>
      </c>
      <c r="B300" t="str" cm="1">
        <f t="array" aca="1" ref="B300" ca="1">IF(OR(INDIRECT(C$26&amp;"!B"&amp;(ROW()-C$32+C$31))="",$C$1="M2"),"",1+ROW(B300)-C$32)</f>
        <v/>
      </c>
      <c r="C300" t="str" cm="1">
        <f t="array" aca="1" ref="C300" ca="1">IF(ROW()&gt;(C$33+C$32-C$31),"",GammaSelfNext(C$29,INDIRECT(C$26&amp;"!A"&amp;ROW()-C$32+C$31&amp;":F"&amp;ROW()-C$32+C$31),C299))</f>
        <v/>
      </c>
      <c r="D300" t="e">
        <f t="shared" ca="1" si="12"/>
        <v>#N/A</v>
      </c>
      <c r="E300" t="e">
        <f t="shared" ca="1" si="13"/>
        <v>#N/A</v>
      </c>
    </row>
    <row r="301" spans="1:5" x14ac:dyDescent="0.3">
      <c r="A301" t="str" cm="1">
        <f t="array" aca="1" ref="A301" ca="1">IF(OR(INDIRECT($C$26&amp;"!B"&amp;(ROW()-$C$32+$C$31))="",$C$1="M2"),"",1+ROW(A301)-$C$32)</f>
        <v/>
      </c>
      <c r="B301" t="str" cm="1">
        <f t="array" aca="1" ref="B301" ca="1">IF(OR(INDIRECT(C$26&amp;"!B"&amp;(ROW()-C$32+C$31))="",$C$1="M2"),"",1+ROW(B301)-C$32)</f>
        <v/>
      </c>
      <c r="C301" t="str" cm="1">
        <f t="array" aca="1" ref="C301" ca="1">IF(ROW()&gt;(C$33+C$32-C$31),"",GammaSelfNext(C$29,INDIRECT(C$26&amp;"!A"&amp;ROW()-C$32+C$31&amp;":F"&amp;ROW()-C$32+C$31),C300))</f>
        <v/>
      </c>
      <c r="D301" t="e">
        <f t="shared" ca="1" si="12"/>
        <v>#N/A</v>
      </c>
      <c r="E301" t="e">
        <f t="shared" ca="1" si="13"/>
        <v>#N/A</v>
      </c>
    </row>
    <row r="302" spans="1:5" x14ac:dyDescent="0.3">
      <c r="A302" t="str" cm="1">
        <f t="array" aca="1" ref="A302" ca="1">IF(OR(INDIRECT($C$26&amp;"!B"&amp;(ROW()-$C$32+$C$31))="",$C$1="M2"),"",1+ROW(A302)-$C$32)</f>
        <v/>
      </c>
      <c r="B302" t="str" cm="1">
        <f t="array" aca="1" ref="B302" ca="1">IF(OR(INDIRECT(C$26&amp;"!B"&amp;(ROW()-C$32+C$31))="",$C$1="M2"),"",1+ROW(B302)-C$32)</f>
        <v/>
      </c>
      <c r="C302" t="str" cm="1">
        <f t="array" aca="1" ref="C302" ca="1">IF(ROW()&gt;(C$33+C$32-C$31),"",GammaSelfNext(C$29,INDIRECT(C$26&amp;"!A"&amp;ROW()-C$32+C$31&amp;":F"&amp;ROW()-C$32+C$31),C301))</f>
        <v/>
      </c>
      <c r="D302" t="e">
        <f t="shared" ca="1" si="12"/>
        <v>#N/A</v>
      </c>
      <c r="E302" t="e">
        <f t="shared" ca="1" si="13"/>
        <v>#N/A</v>
      </c>
    </row>
    <row r="303" spans="1:5" x14ac:dyDescent="0.3">
      <c r="A303" t="str" cm="1">
        <f t="array" aca="1" ref="A303" ca="1">IF(OR(INDIRECT($C$26&amp;"!B"&amp;(ROW()-$C$32+$C$31))="",$C$1="M2"),"",1+ROW(A303)-$C$32)</f>
        <v/>
      </c>
      <c r="B303" t="str" cm="1">
        <f t="array" aca="1" ref="B303" ca="1">IF(OR(INDIRECT(C$26&amp;"!B"&amp;(ROW()-C$32+C$31))="",$C$1="M2"),"",1+ROW(B303)-C$32)</f>
        <v/>
      </c>
      <c r="C303" t="str" cm="1">
        <f t="array" aca="1" ref="C303" ca="1">IF(ROW()&gt;(C$33+C$32-C$31),"",GammaSelfNext(C$29,INDIRECT(C$26&amp;"!A"&amp;ROW()-C$32+C$31&amp;":F"&amp;ROW()-C$32+C$31),C302))</f>
        <v/>
      </c>
      <c r="D303" t="e">
        <f t="shared" ca="1" si="12"/>
        <v>#N/A</v>
      </c>
      <c r="E303" t="e">
        <f t="shared" ca="1" si="13"/>
        <v>#N/A</v>
      </c>
    </row>
    <row r="304" spans="1:5" x14ac:dyDescent="0.3">
      <c r="A304" t="str" cm="1">
        <f t="array" aca="1" ref="A304" ca="1">IF(OR(INDIRECT($C$26&amp;"!B"&amp;(ROW()-$C$32+$C$31))="",$C$1="M2"),"",1+ROW(A304)-$C$32)</f>
        <v/>
      </c>
      <c r="B304" t="str" cm="1">
        <f t="array" aca="1" ref="B304" ca="1">IF(OR(INDIRECT(C$26&amp;"!B"&amp;(ROW()-C$32+C$31))="",$C$1="M2"),"",1+ROW(B304)-C$32)</f>
        <v/>
      </c>
      <c r="C304" t="str" cm="1">
        <f t="array" aca="1" ref="C304" ca="1">IF(ROW()&gt;(C$33+C$32-C$31),"",GammaSelfNext(C$29,INDIRECT(C$26&amp;"!A"&amp;ROW()-C$32+C$31&amp;":F"&amp;ROW()-C$32+C$31),C303))</f>
        <v/>
      </c>
      <c r="D304" t="e">
        <f t="shared" ca="1" si="12"/>
        <v>#N/A</v>
      </c>
      <c r="E304" t="e">
        <f t="shared" ca="1" si="13"/>
        <v>#N/A</v>
      </c>
    </row>
    <row r="305" spans="1:5" x14ac:dyDescent="0.3">
      <c r="A305" t="str" cm="1">
        <f t="array" aca="1" ref="A305" ca="1">IF(OR(INDIRECT($C$26&amp;"!B"&amp;(ROW()-$C$32+$C$31))="",$C$1="M2"),"",1+ROW(A305)-$C$32)</f>
        <v/>
      </c>
      <c r="B305" t="str" cm="1">
        <f t="array" aca="1" ref="B305" ca="1">IF(OR(INDIRECT(C$26&amp;"!B"&amp;(ROW()-C$32+C$31))="",$C$1="M2"),"",1+ROW(B305)-C$32)</f>
        <v/>
      </c>
      <c r="C305" t="str" cm="1">
        <f t="array" aca="1" ref="C305" ca="1">IF(ROW()&gt;(C$33+C$32-C$31),"",GammaSelfNext(C$29,INDIRECT(C$26&amp;"!A"&amp;ROW()-C$32+C$31&amp;":F"&amp;ROW()-C$32+C$31),C304))</f>
        <v/>
      </c>
      <c r="D305" t="e">
        <f t="shared" ca="1" si="12"/>
        <v>#N/A</v>
      </c>
      <c r="E305" t="e">
        <f t="shared" ca="1" si="13"/>
        <v>#N/A</v>
      </c>
    </row>
    <row r="306" spans="1:5" x14ac:dyDescent="0.3">
      <c r="A306" t="str" cm="1">
        <f t="array" aca="1" ref="A306" ca="1">IF(OR(INDIRECT($C$26&amp;"!B"&amp;(ROW()-$C$32+$C$31))="",$C$1="M2"),"",1+ROW(A306)-$C$32)</f>
        <v/>
      </c>
      <c r="B306" t="str" cm="1">
        <f t="array" aca="1" ref="B306" ca="1">IF(OR(INDIRECT(C$26&amp;"!B"&amp;(ROW()-C$32+C$31))="",$C$1="M2"),"",1+ROW(B306)-C$32)</f>
        <v/>
      </c>
      <c r="C306" t="str" cm="1">
        <f t="array" aca="1" ref="C306" ca="1">IF(ROW()&gt;(C$33+C$32-C$31),"",GammaSelfNext(C$29,INDIRECT(C$26&amp;"!A"&amp;ROW()-C$32+C$31&amp;":F"&amp;ROW()-C$32+C$31),C305))</f>
        <v/>
      </c>
      <c r="D306" t="e">
        <f t="shared" ca="1" si="12"/>
        <v>#N/A</v>
      </c>
      <c r="E306" t="e">
        <f t="shared" ca="1" si="13"/>
        <v>#N/A</v>
      </c>
    </row>
    <row r="307" spans="1:5" x14ac:dyDescent="0.3">
      <c r="A307" t="str" cm="1">
        <f t="array" aca="1" ref="A307" ca="1">IF(OR(INDIRECT($C$26&amp;"!B"&amp;(ROW()-$C$32+$C$31))="",$C$1="M2"),"",1+ROW(A307)-$C$32)</f>
        <v/>
      </c>
      <c r="B307" t="str" cm="1">
        <f t="array" aca="1" ref="B307" ca="1">IF(OR(INDIRECT(C$26&amp;"!B"&amp;(ROW()-C$32+C$31))="",$C$1="M2"),"",1+ROW(B307)-C$32)</f>
        <v/>
      </c>
      <c r="C307" t="str" cm="1">
        <f t="array" aca="1" ref="C307" ca="1">IF(ROW()&gt;(C$33+C$32-C$31),"",GammaSelfNext(C$29,INDIRECT(C$26&amp;"!A"&amp;ROW()-C$32+C$31&amp;":F"&amp;ROW()-C$32+C$31),C306))</f>
        <v/>
      </c>
      <c r="D307" t="e">
        <f t="shared" ca="1" si="12"/>
        <v>#N/A</v>
      </c>
      <c r="E307" t="e">
        <f t="shared" ca="1" si="13"/>
        <v>#N/A</v>
      </c>
    </row>
    <row r="308" spans="1:5" x14ac:dyDescent="0.3">
      <c r="A308" t="str" cm="1">
        <f t="array" aca="1" ref="A308" ca="1">IF(OR(INDIRECT($C$26&amp;"!B"&amp;(ROW()-$C$32+$C$31))="",$C$1="M2"),"",1+ROW(A308)-$C$32)</f>
        <v/>
      </c>
      <c r="B308" t="str" cm="1">
        <f t="array" aca="1" ref="B308" ca="1">IF(OR(INDIRECT(C$26&amp;"!B"&amp;(ROW()-C$32+C$31))="",$C$1="M2"),"",1+ROW(B308)-C$32)</f>
        <v/>
      </c>
      <c r="C308" t="str" cm="1">
        <f t="array" aca="1" ref="C308" ca="1">IF(ROW()&gt;(C$33+C$32-C$31),"",GammaSelfNext(C$29,INDIRECT(C$26&amp;"!A"&amp;ROW()-C$32+C$31&amp;":F"&amp;ROW()-C$32+C$31),C307))</f>
        <v/>
      </c>
      <c r="D308" t="e">
        <f t="shared" ca="1" si="12"/>
        <v>#N/A</v>
      </c>
      <c r="E308" t="e">
        <f t="shared" ca="1" si="13"/>
        <v>#N/A</v>
      </c>
    </row>
    <row r="309" spans="1:5" x14ac:dyDescent="0.3">
      <c r="A309" t="str" cm="1">
        <f t="array" aca="1" ref="A309" ca="1">IF(OR(INDIRECT($C$26&amp;"!B"&amp;(ROW()-$C$32+$C$31))="",$C$1="M2"),"",1+ROW(A309)-$C$32)</f>
        <v/>
      </c>
      <c r="B309" t="str" cm="1">
        <f t="array" aca="1" ref="B309" ca="1">IF(OR(INDIRECT(C$26&amp;"!B"&amp;(ROW()-C$32+C$31))="",$C$1="M2"),"",1+ROW(B309)-C$32)</f>
        <v/>
      </c>
      <c r="C309" t="str" cm="1">
        <f t="array" aca="1" ref="C309" ca="1">IF(ROW()&gt;(C$33+C$32-C$31),"",GammaSelfNext(C$29,INDIRECT(C$26&amp;"!A"&amp;ROW()-C$32+C$31&amp;":F"&amp;ROW()-C$32+C$31),C308))</f>
        <v/>
      </c>
      <c r="D309" t="e">
        <f t="shared" ca="1" si="12"/>
        <v>#N/A</v>
      </c>
      <c r="E309" t="e">
        <f t="shared" ca="1" si="13"/>
        <v>#N/A</v>
      </c>
    </row>
    <row r="310" spans="1:5" x14ac:dyDescent="0.3">
      <c r="A310" t="str" cm="1">
        <f t="array" aca="1" ref="A310" ca="1">IF(OR(INDIRECT($C$26&amp;"!B"&amp;(ROW()-$C$32+$C$31))="",$C$1="M2"),"",1+ROW(A310)-$C$32)</f>
        <v/>
      </c>
      <c r="B310" t="str" cm="1">
        <f t="array" aca="1" ref="B310" ca="1">IF(OR(INDIRECT(C$26&amp;"!B"&amp;(ROW()-C$32+C$31))="",$C$1="M2"),"",1+ROW(B310)-C$32)</f>
        <v/>
      </c>
      <c r="C310" t="str" cm="1">
        <f t="array" aca="1" ref="C310" ca="1">IF(ROW()&gt;(C$33+C$32-C$31),"",GammaSelfNext(C$29,INDIRECT(C$26&amp;"!A"&amp;ROW()-C$32+C$31&amp;":F"&amp;ROW()-C$32+C$31),C309))</f>
        <v/>
      </c>
      <c r="D310" t="e">
        <f t="shared" ca="1" si="12"/>
        <v>#N/A</v>
      </c>
      <c r="E310" t="e">
        <f t="shared" ca="1" si="13"/>
        <v>#N/A</v>
      </c>
    </row>
    <row r="311" spans="1:5" x14ac:dyDescent="0.3">
      <c r="A311" t="str" cm="1">
        <f t="array" aca="1" ref="A311" ca="1">IF(OR(INDIRECT($C$26&amp;"!B"&amp;(ROW()-$C$32+$C$31))="",$C$1="M2"),"",1+ROW(A311)-$C$32)</f>
        <v/>
      </c>
      <c r="B311" t="str" cm="1">
        <f t="array" aca="1" ref="B311" ca="1">IF(OR(INDIRECT(C$26&amp;"!B"&amp;(ROW()-C$32+C$31))="",$C$1="M2"),"",1+ROW(B311)-C$32)</f>
        <v/>
      </c>
      <c r="C311" t="str" cm="1">
        <f t="array" aca="1" ref="C311" ca="1">IF(ROW()&gt;(C$33+C$32-C$31),"",GammaSelfNext(C$29,INDIRECT(C$26&amp;"!A"&amp;ROW()-C$32+C$31&amp;":F"&amp;ROW()-C$32+C$31),C310))</f>
        <v/>
      </c>
      <c r="D311" t="e">
        <f t="shared" ca="1" si="12"/>
        <v>#N/A</v>
      </c>
      <c r="E311" t="e">
        <f t="shared" ca="1" si="13"/>
        <v>#N/A</v>
      </c>
    </row>
    <row r="312" spans="1:5" x14ac:dyDescent="0.3">
      <c r="A312" t="str" cm="1">
        <f t="array" aca="1" ref="A312" ca="1">IF(OR(INDIRECT($C$26&amp;"!B"&amp;(ROW()-$C$32+$C$31))="",$C$1="M2"),"",1+ROW(A312)-$C$32)</f>
        <v/>
      </c>
      <c r="B312" t="str" cm="1">
        <f t="array" aca="1" ref="B312" ca="1">IF(OR(INDIRECT(C$26&amp;"!B"&amp;(ROW()-C$32+C$31))="",$C$1="M2"),"",1+ROW(B312)-C$32)</f>
        <v/>
      </c>
      <c r="C312" t="str" cm="1">
        <f t="array" aca="1" ref="C312" ca="1">IF(ROW()&gt;(C$33+C$32-C$31),"",GammaSelfNext(C$29,INDIRECT(C$26&amp;"!A"&amp;ROW()-C$32+C$31&amp;":F"&amp;ROW()-C$32+C$31),C311))</f>
        <v/>
      </c>
      <c r="D312" t="e">
        <f t="shared" ca="1" si="12"/>
        <v>#N/A</v>
      </c>
      <c r="E312" t="e">
        <f t="shared" ca="1" si="13"/>
        <v>#N/A</v>
      </c>
    </row>
    <row r="313" spans="1:5" x14ac:dyDescent="0.3">
      <c r="A313" t="str" cm="1">
        <f t="array" aca="1" ref="A313" ca="1">IF(OR(INDIRECT($C$26&amp;"!B"&amp;(ROW()-$C$32+$C$31))="",$C$1="M2"),"",1+ROW(A313)-$C$32)</f>
        <v/>
      </c>
      <c r="B313" t="str" cm="1">
        <f t="array" aca="1" ref="B313" ca="1">IF(OR(INDIRECT(C$26&amp;"!B"&amp;(ROW()-C$32+C$31))="",$C$1="M2"),"",1+ROW(B313)-C$32)</f>
        <v/>
      </c>
      <c r="C313" t="str" cm="1">
        <f t="array" aca="1" ref="C313" ca="1">IF(ROW()&gt;(C$33+C$32-C$31),"",GammaSelfNext(C$29,INDIRECT(C$26&amp;"!A"&amp;ROW()-C$32+C$31&amp;":F"&amp;ROW()-C$32+C$31),C312))</f>
        <v/>
      </c>
      <c r="D313" t="e">
        <f t="shared" ca="1" si="12"/>
        <v>#N/A</v>
      </c>
      <c r="E313" t="e">
        <f t="shared" ca="1" si="13"/>
        <v>#N/A</v>
      </c>
    </row>
    <row r="314" spans="1:5" x14ac:dyDescent="0.3">
      <c r="A314" t="str" cm="1">
        <f t="array" aca="1" ref="A314" ca="1">IF(OR(INDIRECT($C$26&amp;"!B"&amp;(ROW()-$C$32+$C$31))="",$C$1="M2"),"",1+ROW(A314)-$C$32)</f>
        <v/>
      </c>
      <c r="B314" t="str" cm="1">
        <f t="array" aca="1" ref="B314" ca="1">IF(OR(INDIRECT(C$26&amp;"!B"&amp;(ROW()-C$32+C$31))="",$C$1="M2"),"",1+ROW(B314)-C$32)</f>
        <v/>
      </c>
      <c r="C314" t="str" cm="1">
        <f t="array" aca="1" ref="C314" ca="1">IF(ROW()&gt;(C$33+C$32-C$31),"",GammaSelfNext(C$29,INDIRECT(C$26&amp;"!A"&amp;ROW()-C$32+C$31&amp;":F"&amp;ROW()-C$32+C$31),C313))</f>
        <v/>
      </c>
      <c r="D314" t="e">
        <f t="shared" ca="1" si="12"/>
        <v>#N/A</v>
      </c>
      <c r="E314" t="e">
        <f t="shared" ca="1" si="13"/>
        <v>#N/A</v>
      </c>
    </row>
    <row r="315" spans="1:5" x14ac:dyDescent="0.3">
      <c r="A315" t="str" cm="1">
        <f t="array" aca="1" ref="A315" ca="1">IF(OR(INDIRECT($C$26&amp;"!B"&amp;(ROW()-$C$32+$C$31))="",$C$1="M2"),"",1+ROW(A315)-$C$32)</f>
        <v/>
      </c>
      <c r="B315" t="str" cm="1">
        <f t="array" aca="1" ref="B315" ca="1">IF(OR(INDIRECT(C$26&amp;"!B"&amp;(ROW()-C$32+C$31))="",$C$1="M2"),"",1+ROW(B315)-C$32)</f>
        <v/>
      </c>
      <c r="C315" t="str" cm="1">
        <f t="array" aca="1" ref="C315" ca="1">IF(ROW()&gt;(C$33+C$32-C$31),"",GammaSelfNext(C$29,INDIRECT(C$26&amp;"!A"&amp;ROW()-C$32+C$31&amp;":F"&amp;ROW()-C$32+C$31),C314))</f>
        <v/>
      </c>
      <c r="D315" t="e">
        <f t="shared" ca="1" si="12"/>
        <v>#N/A</v>
      </c>
      <c r="E315" t="e">
        <f t="shared" ca="1" si="13"/>
        <v>#N/A</v>
      </c>
    </row>
    <row r="316" spans="1:5" x14ac:dyDescent="0.3">
      <c r="A316" t="str" cm="1">
        <f t="array" aca="1" ref="A316" ca="1">IF(OR(INDIRECT($C$26&amp;"!B"&amp;(ROW()-$C$32+$C$31))="",$C$1="M2"),"",1+ROW(A316)-$C$32)</f>
        <v/>
      </c>
      <c r="B316" t="str" cm="1">
        <f t="array" aca="1" ref="B316" ca="1">IF(OR(INDIRECT(C$26&amp;"!B"&amp;(ROW()-C$32+C$31))="",$C$1="M2"),"",1+ROW(B316)-C$32)</f>
        <v/>
      </c>
      <c r="C316" t="str" cm="1">
        <f t="array" aca="1" ref="C316" ca="1">IF(ROW()&gt;(C$33+C$32-C$31),"",GammaSelfNext(C$29,INDIRECT(C$26&amp;"!A"&amp;ROW()-C$32+C$31&amp;":F"&amp;ROW()-C$32+C$31),C315))</f>
        <v/>
      </c>
      <c r="D316" t="e">
        <f t="shared" ca="1" si="12"/>
        <v>#N/A</v>
      </c>
      <c r="E316" t="e">
        <f t="shared" ca="1" si="13"/>
        <v>#N/A</v>
      </c>
    </row>
    <row r="317" spans="1:5" x14ac:dyDescent="0.3">
      <c r="A317" t="str" cm="1">
        <f t="array" aca="1" ref="A317" ca="1">IF(OR(INDIRECT($C$26&amp;"!B"&amp;(ROW()-$C$32+$C$31))="",$C$1="M2"),"",1+ROW(A317)-$C$32)</f>
        <v/>
      </c>
      <c r="B317" t="str" cm="1">
        <f t="array" aca="1" ref="B317" ca="1">IF(OR(INDIRECT(C$26&amp;"!B"&amp;(ROW()-C$32+C$31))="",$C$1="M2"),"",1+ROW(B317)-C$32)</f>
        <v/>
      </c>
      <c r="C317" t="str" cm="1">
        <f t="array" aca="1" ref="C317" ca="1">IF(ROW()&gt;(C$33+C$32-C$31),"",GammaSelfNext(C$29,INDIRECT(C$26&amp;"!A"&amp;ROW()-C$32+C$31&amp;":F"&amp;ROW()-C$32+C$31),C316))</f>
        <v/>
      </c>
      <c r="D317" t="e">
        <f t="shared" ca="1" si="12"/>
        <v>#N/A</v>
      </c>
      <c r="E317" t="e">
        <f t="shared" ca="1" si="13"/>
        <v>#N/A</v>
      </c>
    </row>
    <row r="318" spans="1:5" x14ac:dyDescent="0.3">
      <c r="A318" t="str" cm="1">
        <f t="array" aca="1" ref="A318" ca="1">IF(OR(INDIRECT($C$26&amp;"!B"&amp;(ROW()-$C$32+$C$31))="",$C$1="M2"),"",1+ROW(A318)-$C$32)</f>
        <v/>
      </c>
      <c r="B318" t="str" cm="1">
        <f t="array" aca="1" ref="B318" ca="1">IF(OR(INDIRECT(C$26&amp;"!B"&amp;(ROW()-C$32+C$31))="",$C$1="M2"),"",1+ROW(B318)-C$32)</f>
        <v/>
      </c>
      <c r="C318" t="str" cm="1">
        <f t="array" aca="1" ref="C318" ca="1">IF(ROW()&gt;(C$33+C$32-C$31),"",GammaSelfNext(C$29,INDIRECT(C$26&amp;"!A"&amp;ROW()-C$32+C$31&amp;":F"&amp;ROW()-C$32+C$31),C317))</f>
        <v/>
      </c>
      <c r="D318" t="e">
        <f t="shared" ca="1" si="12"/>
        <v>#N/A</v>
      </c>
      <c r="E318" t="e">
        <f t="shared" ca="1" si="13"/>
        <v>#N/A</v>
      </c>
    </row>
    <row r="319" spans="1:5" x14ac:dyDescent="0.3">
      <c r="A319" t="str" cm="1">
        <f t="array" aca="1" ref="A319" ca="1">IF(OR(INDIRECT($C$26&amp;"!B"&amp;(ROW()-$C$32+$C$31))="",$C$1="M2"),"",1+ROW(A319)-$C$32)</f>
        <v/>
      </c>
      <c r="B319" t="str" cm="1">
        <f t="array" aca="1" ref="B319" ca="1">IF(OR(INDIRECT(C$26&amp;"!B"&amp;(ROW()-C$32+C$31))="",$C$1="M2"),"",1+ROW(B319)-C$32)</f>
        <v/>
      </c>
      <c r="C319" t="str" cm="1">
        <f t="array" aca="1" ref="C319" ca="1">IF(ROW()&gt;(C$33+C$32-C$31),"",GammaSelfNext(C$29,INDIRECT(C$26&amp;"!A"&amp;ROW()-C$32+C$31&amp;":F"&amp;ROW()-C$32+C$31),C318))</f>
        <v/>
      </c>
      <c r="D319" t="e">
        <f t="shared" ca="1" si="12"/>
        <v>#N/A</v>
      </c>
      <c r="E319" t="e">
        <f t="shared" ca="1" si="13"/>
        <v>#N/A</v>
      </c>
    </row>
    <row r="320" spans="1:5" x14ac:dyDescent="0.3">
      <c r="A320" t="str" cm="1">
        <f t="array" aca="1" ref="A320" ca="1">IF(OR(INDIRECT($C$26&amp;"!B"&amp;(ROW()-$C$32+$C$31))="",$C$1="M2"),"",1+ROW(A320)-$C$32)</f>
        <v/>
      </c>
      <c r="B320" t="str" cm="1">
        <f t="array" aca="1" ref="B320" ca="1">IF(OR(INDIRECT(C$26&amp;"!B"&amp;(ROW()-C$32+C$31))="",$C$1="M2"),"",1+ROW(B320)-C$32)</f>
        <v/>
      </c>
      <c r="C320" t="str" cm="1">
        <f t="array" aca="1" ref="C320" ca="1">IF(ROW()&gt;(C$33+C$32-C$31),"",GammaSelfNext(C$29,INDIRECT(C$26&amp;"!A"&amp;ROW()-C$32+C$31&amp;":F"&amp;ROW()-C$32+C$31),C319))</f>
        <v/>
      </c>
      <c r="D320" t="e">
        <f t="shared" ca="1" si="12"/>
        <v>#N/A</v>
      </c>
      <c r="E320" t="e">
        <f t="shared" ca="1" si="13"/>
        <v>#N/A</v>
      </c>
    </row>
    <row r="321" spans="1:5" x14ac:dyDescent="0.3">
      <c r="A321" t="str" cm="1">
        <f t="array" aca="1" ref="A321" ca="1">IF(OR(INDIRECT($C$26&amp;"!B"&amp;(ROW()-$C$32+$C$31))="",$C$1="M2"),"",1+ROW(A321)-$C$32)</f>
        <v/>
      </c>
      <c r="B321" t="str" cm="1">
        <f t="array" aca="1" ref="B321" ca="1">IF(OR(INDIRECT(C$26&amp;"!B"&amp;(ROW()-C$32+C$31))="",$C$1="M2"),"",1+ROW(B321)-C$32)</f>
        <v/>
      </c>
      <c r="C321" t="str" cm="1">
        <f t="array" aca="1" ref="C321" ca="1">IF(ROW()&gt;(C$33+C$32-C$31),"",GammaSelfNext(C$29,INDIRECT(C$26&amp;"!A"&amp;ROW()-C$32+C$31&amp;":F"&amp;ROW()-C$32+C$31),C320))</f>
        <v/>
      </c>
      <c r="D321" t="e">
        <f t="shared" ca="1" si="12"/>
        <v>#N/A</v>
      </c>
      <c r="E321" t="e">
        <f t="shared" ca="1" si="13"/>
        <v>#N/A</v>
      </c>
    </row>
    <row r="322" spans="1:5" x14ac:dyDescent="0.3">
      <c r="A322" t="str" cm="1">
        <f t="array" aca="1" ref="A322" ca="1">IF(OR(INDIRECT($C$26&amp;"!B"&amp;(ROW()-$C$32+$C$31))="",$C$1="M2"),"",1+ROW(A322)-$C$32)</f>
        <v/>
      </c>
      <c r="B322" t="str" cm="1">
        <f t="array" aca="1" ref="B322" ca="1">IF(OR(INDIRECT(C$26&amp;"!B"&amp;(ROW()-C$32+C$31))="",$C$1="M2"),"",1+ROW(B322)-C$32)</f>
        <v/>
      </c>
      <c r="C322" t="str" cm="1">
        <f t="array" aca="1" ref="C322" ca="1">IF(ROW()&gt;(C$33+C$32-C$31),"",GammaSelfNext(C$29,INDIRECT(C$26&amp;"!A"&amp;ROW()-C$32+C$31&amp;":F"&amp;ROW()-C$32+C$31),C321))</f>
        <v/>
      </c>
      <c r="D322" t="e">
        <f t="shared" ca="1" si="12"/>
        <v>#N/A</v>
      </c>
      <c r="E322" t="e">
        <f t="shared" ca="1" si="13"/>
        <v>#N/A</v>
      </c>
    </row>
    <row r="323" spans="1:5" x14ac:dyDescent="0.3">
      <c r="A323" t="str" cm="1">
        <f t="array" aca="1" ref="A323" ca="1">IF(OR(INDIRECT($C$26&amp;"!B"&amp;(ROW()-$C$32+$C$31))="",$C$1="M2"),"",1+ROW(A323)-$C$32)</f>
        <v/>
      </c>
      <c r="B323" t="str" cm="1">
        <f t="array" aca="1" ref="B323" ca="1">IF(OR(INDIRECT(C$26&amp;"!B"&amp;(ROW()-C$32+C$31))="",$C$1="M2"),"",1+ROW(B323)-C$32)</f>
        <v/>
      </c>
      <c r="C323" t="str" cm="1">
        <f t="array" aca="1" ref="C323" ca="1">IF(ROW()&gt;(C$33+C$32-C$31),"",GammaSelfNext(C$29,INDIRECT(C$26&amp;"!A"&amp;ROW()-C$32+C$31&amp;":F"&amp;ROW()-C$32+C$31),C322))</f>
        <v/>
      </c>
      <c r="D323" t="e">
        <f t="shared" ca="1" si="12"/>
        <v>#N/A</v>
      </c>
      <c r="E323" t="e">
        <f t="shared" ca="1" si="13"/>
        <v>#N/A</v>
      </c>
    </row>
    <row r="324" spans="1:5" x14ac:dyDescent="0.3">
      <c r="A324" t="str" cm="1">
        <f t="array" aca="1" ref="A324" ca="1">IF(OR(INDIRECT($C$26&amp;"!B"&amp;(ROW()-$C$32+$C$31))="",$C$1="M2"),"",1+ROW(A324)-$C$32)</f>
        <v/>
      </c>
      <c r="B324" t="str" cm="1">
        <f t="array" aca="1" ref="B324" ca="1">IF(OR(INDIRECT(C$26&amp;"!B"&amp;(ROW()-C$32+C$31))="",$C$1="M2"),"",1+ROW(B324)-C$32)</f>
        <v/>
      </c>
      <c r="C324" t="str" cm="1">
        <f t="array" aca="1" ref="C324" ca="1">IF(ROW()&gt;(C$33+C$32-C$31),"",GammaSelfNext(C$29,INDIRECT(C$26&amp;"!A"&amp;ROW()-C$32+C$31&amp;":F"&amp;ROW()-C$32+C$31),C323))</f>
        <v/>
      </c>
      <c r="D324" t="e">
        <f t="shared" ca="1" si="12"/>
        <v>#N/A</v>
      </c>
      <c r="E324" t="e">
        <f t="shared" ca="1" si="13"/>
        <v>#N/A</v>
      </c>
    </row>
    <row r="325" spans="1:5" x14ac:dyDescent="0.3">
      <c r="A325" t="str" cm="1">
        <f t="array" aca="1" ref="A325" ca="1">IF(OR(INDIRECT($C$26&amp;"!B"&amp;(ROW()-$C$32+$C$31))="",$C$1="M2"),"",1+ROW(A325)-$C$32)</f>
        <v/>
      </c>
      <c r="B325" t="str" cm="1">
        <f t="array" aca="1" ref="B325" ca="1">IF(OR(INDIRECT(C$26&amp;"!B"&amp;(ROW()-C$32+C$31))="",$C$1="M2"),"",1+ROW(B325)-C$32)</f>
        <v/>
      </c>
      <c r="C325" t="str" cm="1">
        <f t="array" aca="1" ref="C325" ca="1">IF(ROW()&gt;(C$33+C$32-C$31),"",GammaSelfNext(C$29,INDIRECT(C$26&amp;"!A"&amp;ROW()-C$32+C$31&amp;":F"&amp;ROW()-C$32+C$31),C324))</f>
        <v/>
      </c>
      <c r="D325" t="e">
        <f t="shared" ca="1" si="12"/>
        <v>#N/A</v>
      </c>
      <c r="E325" t="e">
        <f t="shared" ca="1" si="13"/>
        <v>#N/A</v>
      </c>
    </row>
    <row r="326" spans="1:5" x14ac:dyDescent="0.3">
      <c r="A326" t="str" cm="1">
        <f t="array" aca="1" ref="A326" ca="1">IF(OR(INDIRECT($C$26&amp;"!B"&amp;(ROW()-$C$32+$C$31))="",$C$1="M2"),"",1+ROW(A326)-$C$32)</f>
        <v/>
      </c>
      <c r="B326" t="str" cm="1">
        <f t="array" aca="1" ref="B326" ca="1">IF(OR(INDIRECT(C$26&amp;"!B"&amp;(ROW()-C$32+C$31))="",$C$1="M2"),"",1+ROW(B326)-C$32)</f>
        <v/>
      </c>
      <c r="C326" t="str" cm="1">
        <f t="array" aca="1" ref="C326" ca="1">IF(ROW()&gt;(C$33+C$32-C$31),"",GammaSelfNext(C$29,INDIRECT(C$26&amp;"!A"&amp;ROW()-C$32+C$31&amp;":F"&amp;ROW()-C$32+C$31),C325))</f>
        <v/>
      </c>
      <c r="D326" t="e">
        <f t="shared" ca="1" si="12"/>
        <v>#N/A</v>
      </c>
      <c r="E326" t="e">
        <f t="shared" ca="1" si="13"/>
        <v>#N/A</v>
      </c>
    </row>
    <row r="327" spans="1:5" x14ac:dyDescent="0.3">
      <c r="A327" t="str" cm="1">
        <f t="array" aca="1" ref="A327" ca="1">IF(OR(INDIRECT($C$26&amp;"!B"&amp;(ROW()-$C$32+$C$31))="",$C$1="M2"),"",1+ROW(A327)-$C$32)</f>
        <v/>
      </c>
      <c r="B327" t="str" cm="1">
        <f t="array" aca="1" ref="B327" ca="1">IF(OR(INDIRECT(C$26&amp;"!B"&amp;(ROW()-C$32+C$31))="",$C$1="M2"),"",1+ROW(B327)-C$32)</f>
        <v/>
      </c>
      <c r="C327" t="str" cm="1">
        <f t="array" aca="1" ref="C327" ca="1">IF(ROW()&gt;(C$33+C$32-C$31),"",GammaSelfNext(C$29,INDIRECT(C$26&amp;"!A"&amp;ROW()-C$32+C$31&amp;":F"&amp;ROW()-C$32+C$31),C326))</f>
        <v/>
      </c>
      <c r="D327" t="e">
        <f t="shared" ca="1" si="12"/>
        <v>#N/A</v>
      </c>
      <c r="E327" t="e">
        <f t="shared" ca="1" si="13"/>
        <v>#N/A</v>
      </c>
    </row>
    <row r="328" spans="1:5" x14ac:dyDescent="0.3">
      <c r="A328" t="str" cm="1">
        <f t="array" aca="1" ref="A328" ca="1">IF(OR(INDIRECT($C$26&amp;"!B"&amp;(ROW()-$C$32+$C$31))="",$C$1="M2"),"",1+ROW(A328)-$C$32)</f>
        <v/>
      </c>
      <c r="B328" t="str" cm="1">
        <f t="array" aca="1" ref="B328" ca="1">IF(OR(INDIRECT(C$26&amp;"!B"&amp;(ROW()-C$32+C$31))="",$C$1="M2"),"",1+ROW(B328)-C$32)</f>
        <v/>
      </c>
      <c r="C328" t="str" cm="1">
        <f t="array" aca="1" ref="C328" ca="1">IF(ROW()&gt;(C$33+C$32-C$31),"",GammaSelfNext(C$29,INDIRECT(C$26&amp;"!A"&amp;ROW()-C$32+C$31&amp;":F"&amp;ROW()-C$32+C$31),C327))</f>
        <v/>
      </c>
      <c r="D328" t="e">
        <f t="shared" ca="1" si="12"/>
        <v>#N/A</v>
      </c>
      <c r="E328" t="e">
        <f t="shared" ca="1" si="13"/>
        <v>#N/A</v>
      </c>
    </row>
    <row r="329" spans="1:5" x14ac:dyDescent="0.3">
      <c r="A329" t="str" cm="1">
        <f t="array" aca="1" ref="A329" ca="1">IF(OR(INDIRECT($C$26&amp;"!B"&amp;(ROW()-$C$32+$C$31))="",$C$1="M2"),"",1+ROW(A329)-$C$32)</f>
        <v/>
      </c>
      <c r="B329" t="str" cm="1">
        <f t="array" aca="1" ref="B329" ca="1">IF(OR(INDIRECT(C$26&amp;"!B"&amp;(ROW()-C$32+C$31))="",$C$1="M2"),"",1+ROW(B329)-C$32)</f>
        <v/>
      </c>
      <c r="C329" t="str" cm="1">
        <f t="array" aca="1" ref="C329" ca="1">IF(ROW()&gt;(C$33+C$32-C$31),"",GammaSelfNext(C$29,INDIRECT(C$26&amp;"!A"&amp;ROW()-C$32+C$31&amp;":F"&amp;ROW()-C$32+C$31),C328))</f>
        <v/>
      </c>
      <c r="D329" t="e">
        <f t="shared" ca="1" si="12"/>
        <v>#N/A</v>
      </c>
      <c r="E329" t="e">
        <f t="shared" ca="1" si="13"/>
        <v>#N/A</v>
      </c>
    </row>
    <row r="330" spans="1:5" x14ac:dyDescent="0.3">
      <c r="A330" t="str" cm="1">
        <f t="array" aca="1" ref="A330" ca="1">IF(OR(INDIRECT($C$26&amp;"!B"&amp;(ROW()-$C$32+$C$31))="",$C$1="M2"),"",1+ROW(A330)-$C$32)</f>
        <v/>
      </c>
      <c r="B330" t="str" cm="1">
        <f t="array" aca="1" ref="B330" ca="1">IF(OR(INDIRECT(C$26&amp;"!B"&amp;(ROW()-C$32+C$31))="",$C$1="M2"),"",1+ROW(B330)-C$32)</f>
        <v/>
      </c>
      <c r="C330" t="str" cm="1">
        <f t="array" aca="1" ref="C330" ca="1">IF(ROW()&gt;(C$33+C$32-C$31),"",GammaSelfNext(C$29,INDIRECT(C$26&amp;"!A"&amp;ROW()-C$32+C$31&amp;":F"&amp;ROW()-C$32+C$31),C329))</f>
        <v/>
      </c>
      <c r="D330" t="e">
        <f t="shared" ca="1" si="12"/>
        <v>#N/A</v>
      </c>
      <c r="E330" t="e">
        <f t="shared" ca="1" si="13"/>
        <v>#N/A</v>
      </c>
    </row>
    <row r="331" spans="1:5" x14ac:dyDescent="0.3">
      <c r="A331" t="str" cm="1">
        <f t="array" aca="1" ref="A331" ca="1">IF(OR(INDIRECT($C$26&amp;"!B"&amp;(ROW()-$C$32+$C$31))="",$C$1="M2"),"",1+ROW(A331)-$C$32)</f>
        <v/>
      </c>
      <c r="B331" t="str" cm="1">
        <f t="array" aca="1" ref="B331" ca="1">IF(OR(INDIRECT(C$26&amp;"!B"&amp;(ROW()-C$32+C$31))="",$C$1="M2"),"",1+ROW(B331)-C$32)</f>
        <v/>
      </c>
      <c r="C331" t="str" cm="1">
        <f t="array" aca="1" ref="C331" ca="1">IF(ROW()&gt;(C$33+C$32-C$31),"",GammaSelfNext(C$29,INDIRECT(C$26&amp;"!A"&amp;ROW()-C$32+C$31&amp;":F"&amp;ROW()-C$32+C$31),C330))</f>
        <v/>
      </c>
      <c r="D331" t="e">
        <f t="shared" ca="1" si="12"/>
        <v>#N/A</v>
      </c>
      <c r="E331" t="e">
        <f t="shared" ca="1" si="13"/>
        <v>#N/A</v>
      </c>
    </row>
    <row r="332" spans="1:5" x14ac:dyDescent="0.3">
      <c r="A332" t="str" cm="1">
        <f t="array" aca="1" ref="A332" ca="1">IF(OR(INDIRECT($C$26&amp;"!B"&amp;(ROW()-$C$32+$C$31))="",$C$1="M2"),"",1+ROW(A332)-$C$32)</f>
        <v/>
      </c>
      <c r="B332" t="str" cm="1">
        <f t="array" aca="1" ref="B332" ca="1">IF(OR(INDIRECT(C$26&amp;"!B"&amp;(ROW()-C$32+C$31))="",$C$1="M2"),"",1+ROW(B332)-C$32)</f>
        <v/>
      </c>
      <c r="C332" t="str" cm="1">
        <f t="array" aca="1" ref="C332" ca="1">IF(ROW()&gt;(C$33+C$32-C$31),"",GammaSelfNext(C$29,INDIRECT(C$26&amp;"!A"&amp;ROW()-C$32+C$31&amp;":F"&amp;ROW()-C$32+C$31),C331))</f>
        <v/>
      </c>
      <c r="D332" t="e">
        <f t="shared" ca="1" si="12"/>
        <v>#N/A</v>
      </c>
      <c r="E332" t="e">
        <f t="shared" ca="1" si="13"/>
        <v>#N/A</v>
      </c>
    </row>
    <row r="333" spans="1:5" x14ac:dyDescent="0.3">
      <c r="A333" t="str" cm="1">
        <f t="array" aca="1" ref="A333" ca="1">IF(OR(INDIRECT($C$26&amp;"!B"&amp;(ROW()-$C$32+$C$31))="",$C$1="M2"),"",1+ROW(A333)-$C$32)</f>
        <v/>
      </c>
      <c r="B333" t="str" cm="1">
        <f t="array" aca="1" ref="B333" ca="1">IF(OR(INDIRECT(C$26&amp;"!B"&amp;(ROW()-C$32+C$31))="",$C$1="M2"),"",1+ROW(B333)-C$32)</f>
        <v/>
      </c>
      <c r="C333" t="str" cm="1">
        <f t="array" aca="1" ref="C333" ca="1">IF(ROW()&gt;(C$33+C$32-C$31),"",GammaSelfNext(C$29,INDIRECT(C$26&amp;"!A"&amp;ROW()-C$32+C$31&amp;":F"&amp;ROW()-C$32+C$31),C332))</f>
        <v/>
      </c>
      <c r="D333" t="e">
        <f t="shared" ca="1" si="12"/>
        <v>#N/A</v>
      </c>
      <c r="E333" t="e">
        <f t="shared" ca="1" si="13"/>
        <v>#N/A</v>
      </c>
    </row>
    <row r="334" spans="1:5" x14ac:dyDescent="0.3">
      <c r="A334" t="str" cm="1">
        <f t="array" aca="1" ref="A334" ca="1">IF(OR(INDIRECT($C$26&amp;"!B"&amp;(ROW()-$C$32+$C$31))="",$C$1="M2"),"",1+ROW(A334)-$C$32)</f>
        <v/>
      </c>
      <c r="B334" t="str" cm="1">
        <f t="array" aca="1" ref="B334" ca="1">IF(OR(INDIRECT(C$26&amp;"!B"&amp;(ROW()-C$32+C$31))="",$C$1="M2"),"",1+ROW(B334)-C$32)</f>
        <v/>
      </c>
      <c r="C334" t="str" cm="1">
        <f t="array" aca="1" ref="C334" ca="1">IF(ROW()&gt;(C$33+C$32-C$31),"",GammaSelfNext(C$29,INDIRECT(C$26&amp;"!A"&amp;ROW()-C$32+C$31&amp;":F"&amp;ROW()-C$32+C$31),C333))</f>
        <v/>
      </c>
      <c r="D334" t="e">
        <f t="shared" ca="1" si="12"/>
        <v>#N/A</v>
      </c>
      <c r="E334" t="e">
        <f t="shared" ca="1" si="13"/>
        <v>#N/A</v>
      </c>
    </row>
    <row r="335" spans="1:5" x14ac:dyDescent="0.3">
      <c r="A335" t="str" cm="1">
        <f t="array" aca="1" ref="A335" ca="1">IF(OR(INDIRECT($C$26&amp;"!B"&amp;(ROW()-$C$32+$C$31))="",$C$1="M2"),"",1+ROW(A335)-$C$32)</f>
        <v/>
      </c>
      <c r="B335" t="str" cm="1">
        <f t="array" aca="1" ref="B335" ca="1">IF(OR(INDIRECT(C$26&amp;"!B"&amp;(ROW()-C$32+C$31))="",$C$1="M2"),"",1+ROW(B335)-C$32)</f>
        <v/>
      </c>
      <c r="C335" t="str" cm="1">
        <f t="array" aca="1" ref="C335" ca="1">IF(ROW()&gt;(C$33+C$32-C$31),"",GammaSelfNext(C$29,INDIRECT(C$26&amp;"!A"&amp;ROW()-C$32+C$31&amp;":F"&amp;ROW()-C$32+C$31),C334))</f>
        <v/>
      </c>
      <c r="D335" t="e">
        <f t="shared" ca="1" si="12"/>
        <v>#N/A</v>
      </c>
      <c r="E335" t="e">
        <f t="shared" ca="1" si="13"/>
        <v>#N/A</v>
      </c>
    </row>
    <row r="336" spans="1:5" x14ac:dyDescent="0.3">
      <c r="A336" t="str" cm="1">
        <f t="array" aca="1" ref="A336" ca="1">IF(OR(INDIRECT($C$26&amp;"!B"&amp;(ROW()-$C$32+$C$31))="",$C$1="M2"),"",1+ROW(A336)-$C$32)</f>
        <v/>
      </c>
      <c r="B336" t="str" cm="1">
        <f t="array" aca="1" ref="B336" ca="1">IF(OR(INDIRECT(C$26&amp;"!B"&amp;(ROW()-C$32+C$31))="",$C$1="M2"),"",1+ROW(B336)-C$32)</f>
        <v/>
      </c>
      <c r="C336" t="str" cm="1">
        <f t="array" aca="1" ref="C336" ca="1">IF(ROW()&gt;(C$33+C$32-C$31),"",GammaSelfNext(C$29,INDIRECT(C$26&amp;"!A"&amp;ROW()-C$32+C$31&amp;":F"&amp;ROW()-C$32+C$31),C335))</f>
        <v/>
      </c>
      <c r="D336" t="e">
        <f t="shared" ca="1" si="12"/>
        <v>#N/A</v>
      </c>
      <c r="E336" t="e">
        <f t="shared" ca="1" si="13"/>
        <v>#N/A</v>
      </c>
    </row>
    <row r="337" spans="1:5" x14ac:dyDescent="0.3">
      <c r="A337" t="str" cm="1">
        <f t="array" aca="1" ref="A337" ca="1">IF(OR(INDIRECT($C$26&amp;"!B"&amp;(ROW()-$C$32+$C$31))="",$C$1="M2"),"",1+ROW(A337)-$C$32)</f>
        <v/>
      </c>
      <c r="B337" t="str" cm="1">
        <f t="array" aca="1" ref="B337" ca="1">IF(OR(INDIRECT(C$26&amp;"!B"&amp;(ROW()-C$32+C$31))="",$C$1="M2"),"",1+ROW(B337)-C$32)</f>
        <v/>
      </c>
      <c r="C337" t="str" cm="1">
        <f t="array" aca="1" ref="C337" ca="1">IF(ROW()&gt;(C$33+C$32-C$31),"",GammaSelfNext(C$29,INDIRECT(C$26&amp;"!A"&amp;ROW()-C$32+C$31&amp;":F"&amp;ROW()-C$32+C$31),C336))</f>
        <v/>
      </c>
      <c r="D337" t="e">
        <f t="shared" ca="1" si="12"/>
        <v>#N/A</v>
      </c>
      <c r="E337" t="e">
        <f t="shared" ca="1" si="13"/>
        <v>#N/A</v>
      </c>
    </row>
    <row r="338" spans="1:5" x14ac:dyDescent="0.3">
      <c r="A338" t="str" cm="1">
        <f t="array" aca="1" ref="A338" ca="1">IF(OR(INDIRECT($C$26&amp;"!B"&amp;(ROW()-$C$32+$C$31))="",$C$1="M2"),"",1+ROW(A338)-$C$32)</f>
        <v/>
      </c>
      <c r="B338" t="str" cm="1">
        <f t="array" aca="1" ref="B338" ca="1">IF(OR(INDIRECT(C$26&amp;"!B"&amp;(ROW()-C$32+C$31))="",$C$1="M2"),"",1+ROW(B338)-C$32)</f>
        <v/>
      </c>
      <c r="C338" t="str" cm="1">
        <f t="array" aca="1" ref="C338" ca="1">IF(ROW()&gt;(C$33+C$32-C$31),"",GammaSelfNext(C$29,INDIRECT(C$26&amp;"!A"&amp;ROW()-C$32+C$31&amp;":F"&amp;ROW()-C$32+C$31),C337))</f>
        <v/>
      </c>
      <c r="D338" t="e">
        <f t="shared" ca="1" si="12"/>
        <v>#N/A</v>
      </c>
      <c r="E338" t="e">
        <f t="shared" ca="1" si="13"/>
        <v>#N/A</v>
      </c>
    </row>
    <row r="339" spans="1:5" x14ac:dyDescent="0.3">
      <c r="A339" t="str" cm="1">
        <f t="array" aca="1" ref="A339" ca="1">IF(OR(INDIRECT($C$26&amp;"!B"&amp;(ROW()-$C$32+$C$31))="",$C$1="M2"),"",1+ROW(A339)-$C$32)</f>
        <v/>
      </c>
      <c r="B339" t="str" cm="1">
        <f t="array" aca="1" ref="B339" ca="1">IF(OR(INDIRECT(C$26&amp;"!B"&amp;(ROW()-C$32+C$31))="",$C$1="M2"),"",1+ROW(B339)-C$32)</f>
        <v/>
      </c>
      <c r="C339" t="str" cm="1">
        <f t="array" aca="1" ref="C339" ca="1">IF(ROW()&gt;(C$33+C$32-C$31),"",GammaSelfNext(C$29,INDIRECT(C$26&amp;"!A"&amp;ROW()-C$32+C$31&amp;":F"&amp;ROW()-C$32+C$31),C338))</f>
        <v/>
      </c>
      <c r="D339" t="e">
        <f t="shared" ca="1" si="12"/>
        <v>#N/A</v>
      </c>
      <c r="E339" t="e">
        <f t="shared" ca="1" si="13"/>
        <v>#N/A</v>
      </c>
    </row>
    <row r="340" spans="1:5" x14ac:dyDescent="0.3">
      <c r="A340" t="str" cm="1">
        <f t="array" aca="1" ref="A340" ca="1">IF(OR(INDIRECT($C$26&amp;"!B"&amp;(ROW()-$C$32+$C$31))="",$C$1="M2"),"",1+ROW(A340)-$C$32)</f>
        <v/>
      </c>
      <c r="B340" t="str" cm="1">
        <f t="array" aca="1" ref="B340" ca="1">IF(OR(INDIRECT(C$26&amp;"!B"&amp;(ROW()-C$32+C$31))="",$C$1="M2"),"",1+ROW(B340)-C$32)</f>
        <v/>
      </c>
      <c r="C340" t="str" cm="1">
        <f t="array" aca="1" ref="C340" ca="1">IF(ROW()&gt;(C$33+C$32-C$31),"",GammaSelfNext(C$29,INDIRECT(C$26&amp;"!A"&amp;ROW()-C$32+C$31&amp;":F"&amp;ROW()-C$32+C$31),C339))</f>
        <v/>
      </c>
      <c r="D340" t="e">
        <f t="shared" ca="1" si="12"/>
        <v>#N/A</v>
      </c>
      <c r="E340" t="e">
        <f t="shared" ca="1" si="13"/>
        <v>#N/A</v>
      </c>
    </row>
    <row r="341" spans="1:5" x14ac:dyDescent="0.3">
      <c r="A341" t="str" cm="1">
        <f t="array" aca="1" ref="A341" ca="1">IF(OR(INDIRECT($C$26&amp;"!B"&amp;(ROW()-$C$32+$C$31))="",$C$1="M2"),"",1+ROW(A341)-$C$32)</f>
        <v/>
      </c>
      <c r="B341" t="str" cm="1">
        <f t="array" aca="1" ref="B341" ca="1">IF(OR(INDIRECT(C$26&amp;"!B"&amp;(ROW()-C$32+C$31))="",$C$1="M2"),"",1+ROW(B341)-C$32)</f>
        <v/>
      </c>
      <c r="C341" t="str" cm="1">
        <f t="array" aca="1" ref="C341" ca="1">IF(ROW()&gt;(C$33+C$32-C$31),"",GammaSelfNext(C$29,INDIRECT(C$26&amp;"!A"&amp;ROW()-C$32+C$31&amp;":F"&amp;ROW()-C$32+C$31),C340))</f>
        <v/>
      </c>
      <c r="D341" t="e">
        <f t="shared" ca="1" si="12"/>
        <v>#N/A</v>
      </c>
      <c r="E341" t="e">
        <f t="shared" ca="1" si="13"/>
        <v>#N/A</v>
      </c>
    </row>
    <row r="342" spans="1:5" x14ac:dyDescent="0.3">
      <c r="A342" t="str" cm="1">
        <f t="array" aca="1" ref="A342" ca="1">IF(OR(INDIRECT($C$26&amp;"!B"&amp;(ROW()-$C$32+$C$31))="",$C$1="M2"),"",1+ROW(A342)-$C$32)</f>
        <v/>
      </c>
      <c r="B342" t="str" cm="1">
        <f t="array" aca="1" ref="B342" ca="1">IF(OR(INDIRECT(C$26&amp;"!B"&amp;(ROW()-C$32+C$31))="",$C$1="M2"),"",1+ROW(B342)-C$32)</f>
        <v/>
      </c>
      <c r="C342" t="str" cm="1">
        <f t="array" aca="1" ref="C342" ca="1">IF(ROW()&gt;(C$33+C$32-C$31),"",GammaSelfNext(C$29,INDIRECT(C$26&amp;"!A"&amp;ROW()-C$32+C$31&amp;":F"&amp;ROW()-C$32+C$31),C341))</f>
        <v/>
      </c>
      <c r="D342" t="e">
        <f t="shared" ca="1" si="12"/>
        <v>#N/A</v>
      </c>
      <c r="E342" t="e">
        <f t="shared" ca="1" si="13"/>
        <v>#N/A</v>
      </c>
    </row>
    <row r="343" spans="1:5" x14ac:dyDescent="0.3">
      <c r="A343" t="str" cm="1">
        <f t="array" aca="1" ref="A343" ca="1">IF(OR(INDIRECT($C$26&amp;"!B"&amp;(ROW()-$C$32+$C$31))="",$C$1="M2"),"",1+ROW(A343)-$C$32)</f>
        <v/>
      </c>
      <c r="B343" t="str" cm="1">
        <f t="array" aca="1" ref="B343" ca="1">IF(OR(INDIRECT(C$26&amp;"!B"&amp;(ROW()-C$32+C$31))="",$C$1="M2"),"",1+ROW(B343)-C$32)</f>
        <v/>
      </c>
      <c r="C343" t="str" cm="1">
        <f t="array" aca="1" ref="C343" ca="1">IF(ROW()&gt;(C$33+C$32-C$31),"",GammaSelfNext(C$29,INDIRECT(C$26&amp;"!A"&amp;ROW()-C$32+C$31&amp;":F"&amp;ROW()-C$32+C$31),C342))</f>
        <v/>
      </c>
      <c r="D343" t="e">
        <f t="shared" ca="1" si="12"/>
        <v>#N/A</v>
      </c>
      <c r="E343" t="e">
        <f t="shared" ca="1" si="13"/>
        <v>#N/A</v>
      </c>
    </row>
    <row r="344" spans="1:5" x14ac:dyDescent="0.3">
      <c r="A344" t="str" cm="1">
        <f t="array" aca="1" ref="A344" ca="1">IF(OR(INDIRECT($C$26&amp;"!B"&amp;(ROW()-$C$32+$C$31))="",$C$1="M2"),"",1+ROW(A344)-$C$32)</f>
        <v/>
      </c>
      <c r="B344" t="str" cm="1">
        <f t="array" aca="1" ref="B344" ca="1">IF(OR(INDIRECT(C$26&amp;"!B"&amp;(ROW()-C$32+C$31))="",$C$1="M2"),"",1+ROW(B344)-C$32)</f>
        <v/>
      </c>
      <c r="C344" t="str" cm="1">
        <f t="array" aca="1" ref="C344" ca="1">IF(ROW()&gt;(C$33+C$32-C$31),"",GammaSelfNext(C$29,INDIRECT(C$26&amp;"!A"&amp;ROW()-C$32+C$31&amp;":F"&amp;ROW()-C$32+C$31),C343))</f>
        <v/>
      </c>
      <c r="D344" t="e">
        <f t="shared" ca="1" si="12"/>
        <v>#N/A</v>
      </c>
      <c r="E344" t="e">
        <f t="shared" ca="1" si="13"/>
        <v>#N/A</v>
      </c>
    </row>
    <row r="345" spans="1:5" x14ac:dyDescent="0.3">
      <c r="A345" t="str" cm="1">
        <f t="array" aca="1" ref="A345" ca="1">IF(OR(INDIRECT($C$26&amp;"!B"&amp;(ROW()-$C$32+$C$31))="",$C$1="M2"),"",1+ROW(A345)-$C$32)</f>
        <v/>
      </c>
      <c r="B345" t="str" cm="1">
        <f t="array" aca="1" ref="B345" ca="1">IF(OR(INDIRECT(C$26&amp;"!B"&amp;(ROW()-C$32+C$31))="",$C$1="M2"),"",1+ROW(B345)-C$32)</f>
        <v/>
      </c>
      <c r="C345" t="str" cm="1">
        <f t="array" aca="1" ref="C345" ca="1">IF(ROW()&gt;(C$33+C$32-C$31),"",GammaSelfNext(C$29,INDIRECT(C$26&amp;"!A"&amp;ROW()-C$32+C$31&amp;":F"&amp;ROW()-C$32+C$31),C344))</f>
        <v/>
      </c>
      <c r="D345" t="e">
        <f t="shared" ca="1" si="12"/>
        <v>#N/A</v>
      </c>
      <c r="E345" t="e">
        <f t="shared" ca="1" si="13"/>
        <v>#N/A</v>
      </c>
    </row>
    <row r="346" spans="1:5" x14ac:dyDescent="0.3">
      <c r="A346" t="str" cm="1">
        <f t="array" aca="1" ref="A346" ca="1">IF(OR(INDIRECT($C$26&amp;"!B"&amp;(ROW()-$C$32+$C$31))="",$C$1="M2"),"",1+ROW(A346)-$C$32)</f>
        <v/>
      </c>
      <c r="B346" t="str" cm="1">
        <f t="array" aca="1" ref="B346" ca="1">IF(OR(INDIRECT(C$26&amp;"!B"&amp;(ROW()-C$32+C$31))="",$C$1="M2"),"",1+ROW(B346)-C$32)</f>
        <v/>
      </c>
      <c r="C346" t="str" cm="1">
        <f t="array" aca="1" ref="C346" ca="1">IF(ROW()&gt;(C$33+C$32-C$31),"",GammaSelfNext(C$29,INDIRECT(C$26&amp;"!A"&amp;ROW()-C$32+C$31&amp;":F"&amp;ROW()-C$32+C$31),C345))</f>
        <v/>
      </c>
      <c r="D346" t="e">
        <f t="shared" ca="1" si="12"/>
        <v>#N/A</v>
      </c>
      <c r="E346" t="e">
        <f t="shared" ca="1" si="13"/>
        <v>#N/A</v>
      </c>
    </row>
    <row r="347" spans="1:5" x14ac:dyDescent="0.3">
      <c r="A347" t="str" cm="1">
        <f t="array" aca="1" ref="A347" ca="1">IF(OR(INDIRECT($C$26&amp;"!B"&amp;(ROW()-$C$32+$C$31))="",$C$1="M2"),"",1+ROW(A347)-$C$32)</f>
        <v/>
      </c>
      <c r="B347" t="str" cm="1">
        <f t="array" aca="1" ref="B347" ca="1">IF(OR(INDIRECT(C$26&amp;"!B"&amp;(ROW()-C$32+C$31))="",$C$1="M2"),"",1+ROW(B347)-C$32)</f>
        <v/>
      </c>
      <c r="C347" t="str" cm="1">
        <f t="array" aca="1" ref="C347" ca="1">IF(ROW()&gt;(C$33+C$32-C$31),"",GammaSelfNext(C$29,INDIRECT(C$26&amp;"!A"&amp;ROW()-C$32+C$31&amp;":F"&amp;ROW()-C$32+C$31),C346))</f>
        <v/>
      </c>
      <c r="D347" t="e">
        <f t="shared" ca="1" si="12"/>
        <v>#N/A</v>
      </c>
      <c r="E347" t="e">
        <f t="shared" ca="1" si="13"/>
        <v>#N/A</v>
      </c>
    </row>
    <row r="348" spans="1:5" x14ac:dyDescent="0.3">
      <c r="A348" t="str" cm="1">
        <f t="array" aca="1" ref="A348" ca="1">IF(OR(INDIRECT($C$26&amp;"!B"&amp;(ROW()-$C$32+$C$31))="",$C$1="M2"),"",1+ROW(A348)-$C$32)</f>
        <v/>
      </c>
      <c r="B348" t="str" cm="1">
        <f t="array" aca="1" ref="B348" ca="1">IF(OR(INDIRECT(C$26&amp;"!B"&amp;(ROW()-C$32+C$31))="",$C$1="M2"),"",1+ROW(B348)-C$32)</f>
        <v/>
      </c>
      <c r="C348" t="str" cm="1">
        <f t="array" aca="1" ref="C348" ca="1">IF(ROW()&gt;(C$33+C$32-C$31),"",GammaSelfNext(C$29,INDIRECT(C$26&amp;"!A"&amp;ROW()-C$32+C$31&amp;":F"&amp;ROW()-C$32+C$31),C347))</f>
        <v/>
      </c>
      <c r="D348" t="e">
        <f t="shared" ca="1" si="12"/>
        <v>#N/A</v>
      </c>
      <c r="E348" t="e">
        <f t="shared" ca="1" si="13"/>
        <v>#N/A</v>
      </c>
    </row>
    <row r="349" spans="1:5" x14ac:dyDescent="0.3">
      <c r="A349" t="str" cm="1">
        <f t="array" aca="1" ref="A349" ca="1">IF(OR(INDIRECT($C$26&amp;"!B"&amp;(ROW()-$C$32+$C$31))="",$C$1="M2"),"",1+ROW(A349)-$C$32)</f>
        <v/>
      </c>
      <c r="B349" t="str" cm="1">
        <f t="array" aca="1" ref="B349" ca="1">IF(OR(INDIRECT(C$26&amp;"!B"&amp;(ROW()-C$32+C$31))="",$C$1="M2"),"",1+ROW(B349)-C$32)</f>
        <v/>
      </c>
      <c r="C349" t="str" cm="1">
        <f t="array" aca="1" ref="C349" ca="1">IF(ROW()&gt;(C$33+C$32-C$31),"",GammaSelfNext(C$29,INDIRECT(C$26&amp;"!A"&amp;ROW()-C$32+C$31&amp;":F"&amp;ROW()-C$32+C$31),C348))</f>
        <v/>
      </c>
      <c r="D349" t="e">
        <f t="shared" ca="1" si="12"/>
        <v>#N/A</v>
      </c>
      <c r="E349" t="e">
        <f t="shared" ca="1" si="13"/>
        <v>#N/A</v>
      </c>
    </row>
    <row r="350" spans="1:5" x14ac:dyDescent="0.3">
      <c r="A350" t="str" cm="1">
        <f t="array" aca="1" ref="A350" ca="1">IF(OR(INDIRECT($C$26&amp;"!B"&amp;(ROW()-$C$32+$C$31))="",$C$1="M2"),"",1+ROW(A350)-$C$32)</f>
        <v/>
      </c>
      <c r="B350" t="str" cm="1">
        <f t="array" aca="1" ref="B350" ca="1">IF(OR(INDIRECT(C$26&amp;"!B"&amp;(ROW()-C$32+C$31))="",$C$1="M2"),"",1+ROW(B350)-C$32)</f>
        <v/>
      </c>
      <c r="C350" t="str" cm="1">
        <f t="array" aca="1" ref="C350" ca="1">IF(ROW()&gt;(C$33+C$32-C$31),"",GammaSelfNext(C$29,INDIRECT(C$26&amp;"!A"&amp;ROW()-C$32+C$31&amp;":F"&amp;ROW()-C$32+C$31),C349))</f>
        <v/>
      </c>
      <c r="D350" t="e">
        <f t="shared" ca="1" si="12"/>
        <v>#N/A</v>
      </c>
      <c r="E350" t="e">
        <f t="shared" ca="1" si="13"/>
        <v>#N/A</v>
      </c>
    </row>
    <row r="351" spans="1:5" x14ac:dyDescent="0.3">
      <c r="A351" t="str" cm="1">
        <f t="array" aca="1" ref="A351" ca="1">IF(OR(INDIRECT($C$26&amp;"!B"&amp;(ROW()-$C$32+$C$31))="",$C$1="M2"),"",1+ROW(A351)-$C$32)</f>
        <v/>
      </c>
      <c r="B351" t="str" cm="1">
        <f t="array" aca="1" ref="B351" ca="1">IF(OR(INDIRECT(C$26&amp;"!B"&amp;(ROW()-C$32+C$31))="",$C$1="M2"),"",1+ROW(B351)-C$32)</f>
        <v/>
      </c>
      <c r="C351" t="str" cm="1">
        <f t="array" aca="1" ref="C351" ca="1">IF(ROW()&gt;(C$33+C$32-C$31),"",GammaSelfNext(C$29,INDIRECT(C$26&amp;"!A"&amp;ROW()-C$32+C$31&amp;":F"&amp;ROW()-C$32+C$31),C350))</f>
        <v/>
      </c>
      <c r="D351" t="e">
        <f t="shared" ca="1" si="12"/>
        <v>#N/A</v>
      </c>
      <c r="E351" t="e">
        <f t="shared" ca="1" si="13"/>
        <v>#N/A</v>
      </c>
    </row>
    <row r="352" spans="1:5" x14ac:dyDescent="0.3">
      <c r="A352" t="str" cm="1">
        <f t="array" aca="1" ref="A352" ca="1">IF(OR(INDIRECT($C$26&amp;"!B"&amp;(ROW()-$C$32+$C$31))="",$C$1="M2"),"",1+ROW(A352)-$C$32)</f>
        <v/>
      </c>
      <c r="B352" t="str" cm="1">
        <f t="array" aca="1" ref="B352" ca="1">IF(OR(INDIRECT(C$26&amp;"!B"&amp;(ROW()-C$32+C$31))="",$C$1="M2"),"",1+ROW(B352)-C$32)</f>
        <v/>
      </c>
      <c r="C352" t="str" cm="1">
        <f t="array" aca="1" ref="C352" ca="1">IF(ROW()&gt;(C$33+C$32-C$31),"",GammaSelfNext(C$29,INDIRECT(C$26&amp;"!A"&amp;ROW()-C$32+C$31&amp;":F"&amp;ROW()-C$32+C$31),C351))</f>
        <v/>
      </c>
      <c r="D352" t="e">
        <f t="shared" ca="1" si="12"/>
        <v>#N/A</v>
      </c>
      <c r="E352" t="e">
        <f t="shared" ca="1" si="13"/>
        <v>#N/A</v>
      </c>
    </row>
    <row r="353" spans="1:5" x14ac:dyDescent="0.3">
      <c r="A353" t="str" cm="1">
        <f t="array" aca="1" ref="A353" ca="1">IF(OR(INDIRECT($C$26&amp;"!B"&amp;(ROW()-$C$32+$C$31))="",$C$1="M2"),"",1+ROW(A353)-$C$32)</f>
        <v/>
      </c>
      <c r="B353" t="str" cm="1">
        <f t="array" aca="1" ref="B353" ca="1">IF(OR(INDIRECT(C$26&amp;"!B"&amp;(ROW()-C$32+C$31))="",$C$1="M2"),"",1+ROW(B353)-C$32)</f>
        <v/>
      </c>
      <c r="C353" t="str" cm="1">
        <f t="array" aca="1" ref="C353" ca="1">IF(ROW()&gt;(C$33+C$32-C$31),"",GammaSelfNext(C$29,INDIRECT(C$26&amp;"!A"&amp;ROW()-C$32+C$31&amp;":F"&amp;ROW()-C$32+C$31),C352))</f>
        <v/>
      </c>
      <c r="D353" t="e">
        <f t="shared" ca="1" si="12"/>
        <v>#N/A</v>
      </c>
      <c r="E353" t="e">
        <f t="shared" ca="1" si="13"/>
        <v>#N/A</v>
      </c>
    </row>
    <row r="354" spans="1:5" x14ac:dyDescent="0.3">
      <c r="A354" t="str" cm="1">
        <f t="array" aca="1" ref="A354" ca="1">IF(OR(INDIRECT($C$26&amp;"!B"&amp;(ROW()-$C$32+$C$31))="",$C$1="M2"),"",1+ROW(A354)-$C$32)</f>
        <v/>
      </c>
      <c r="B354" t="str" cm="1">
        <f t="array" aca="1" ref="B354" ca="1">IF(OR(INDIRECT(C$26&amp;"!B"&amp;(ROW()-C$32+C$31))="",$C$1="M2"),"",1+ROW(B354)-C$32)</f>
        <v/>
      </c>
      <c r="C354" t="str" cm="1">
        <f t="array" aca="1" ref="C354" ca="1">IF(ROW()&gt;(C$33+C$32-C$31),"",GammaSelfNext(C$29,INDIRECT(C$26&amp;"!A"&amp;ROW()-C$32+C$31&amp;":F"&amp;ROW()-C$32+C$31),C353))</f>
        <v/>
      </c>
      <c r="D354" t="e">
        <f t="shared" ca="1" si="12"/>
        <v>#N/A</v>
      </c>
      <c r="E354" t="e">
        <f t="shared" ca="1" si="13"/>
        <v>#N/A</v>
      </c>
    </row>
    <row r="355" spans="1:5" x14ac:dyDescent="0.3">
      <c r="A355" t="str" cm="1">
        <f t="array" aca="1" ref="A355" ca="1">IF(OR(INDIRECT($C$26&amp;"!B"&amp;(ROW()-$C$32+$C$31))="",$C$1="M2"),"",1+ROW(A355)-$C$32)</f>
        <v/>
      </c>
      <c r="B355" t="str" cm="1">
        <f t="array" aca="1" ref="B355" ca="1">IF(OR(INDIRECT(C$26&amp;"!B"&amp;(ROW()-C$32+C$31))="",$C$1="M2"),"",1+ROW(B355)-C$32)</f>
        <v/>
      </c>
      <c r="C355" t="str" cm="1">
        <f t="array" aca="1" ref="C355" ca="1">IF(ROW()&gt;(C$33+C$32-C$31),"",GammaSelfNext(C$29,INDIRECT(C$26&amp;"!A"&amp;ROW()-C$32+C$31&amp;":F"&amp;ROW()-C$32+C$31),C354))</f>
        <v/>
      </c>
      <c r="D355" t="e">
        <f t="shared" ca="1" si="12"/>
        <v>#N/A</v>
      </c>
      <c r="E355" t="e">
        <f t="shared" ca="1" si="13"/>
        <v>#N/A</v>
      </c>
    </row>
    <row r="356" spans="1:5" x14ac:dyDescent="0.3">
      <c r="A356" t="str" cm="1">
        <f t="array" aca="1" ref="A356" ca="1">IF(OR(INDIRECT($C$26&amp;"!B"&amp;(ROW()-$C$32+$C$31))="",$C$1="M2"),"",1+ROW(A356)-$C$32)</f>
        <v/>
      </c>
      <c r="B356" t="str" cm="1">
        <f t="array" aca="1" ref="B356" ca="1">IF(OR(INDIRECT(C$26&amp;"!B"&amp;(ROW()-C$32+C$31))="",$C$1="M2"),"",1+ROW(B356)-C$32)</f>
        <v/>
      </c>
      <c r="C356" t="str" cm="1">
        <f t="array" aca="1" ref="C356" ca="1">IF(ROW()&gt;(C$33+C$32-C$31),"",GammaSelfNext(C$29,INDIRECT(C$26&amp;"!A"&amp;ROW()-C$32+C$31&amp;":F"&amp;ROW()-C$32+C$31),C355))</f>
        <v/>
      </c>
      <c r="D356" t="e">
        <f t="shared" ca="1" si="12"/>
        <v>#N/A</v>
      </c>
      <c r="E356" t="e">
        <f t="shared" ca="1" si="13"/>
        <v>#N/A</v>
      </c>
    </row>
    <row r="357" spans="1:5" x14ac:dyDescent="0.3">
      <c r="A357" t="str" cm="1">
        <f t="array" aca="1" ref="A357" ca="1">IF(OR(INDIRECT($C$26&amp;"!B"&amp;(ROW()-$C$32+$C$31))="",$C$1="M2"),"",1+ROW(A357)-$C$32)</f>
        <v/>
      </c>
      <c r="B357" t="str" cm="1">
        <f t="array" aca="1" ref="B357" ca="1">IF(OR(INDIRECT(C$26&amp;"!B"&amp;(ROW()-C$32+C$31))="",$C$1="M2"),"",1+ROW(B357)-C$32)</f>
        <v/>
      </c>
      <c r="C357" t="str" cm="1">
        <f t="array" aca="1" ref="C357" ca="1">IF(ROW()&gt;(C$33+C$32-C$31),"",GammaSelfNext(C$29,INDIRECT(C$26&amp;"!A"&amp;ROW()-C$32+C$31&amp;":F"&amp;ROW()-C$32+C$31),C356))</f>
        <v/>
      </c>
      <c r="D357" t="e">
        <f t="shared" ca="1" si="12"/>
        <v>#N/A</v>
      </c>
      <c r="E357" t="e">
        <f t="shared" ca="1" si="13"/>
        <v>#N/A</v>
      </c>
    </row>
    <row r="358" spans="1:5" x14ac:dyDescent="0.3">
      <c r="A358" t="str" cm="1">
        <f t="array" aca="1" ref="A358" ca="1">IF(OR(INDIRECT($C$26&amp;"!B"&amp;(ROW()-$C$32+$C$31))="",$C$1="M2"),"",1+ROW(A358)-$C$32)</f>
        <v/>
      </c>
      <c r="B358" t="str" cm="1">
        <f t="array" aca="1" ref="B358" ca="1">IF(OR(INDIRECT(C$26&amp;"!B"&amp;(ROW()-C$32+C$31))="",$C$1="M2"),"",1+ROW(B358)-C$32)</f>
        <v/>
      </c>
      <c r="C358" t="str" cm="1">
        <f t="array" aca="1" ref="C358" ca="1">IF(ROW()&gt;(C$33+C$32-C$31),"",GammaSelfNext(C$29,INDIRECT(C$26&amp;"!A"&amp;ROW()-C$32+C$31&amp;":F"&amp;ROW()-C$32+C$31),C357))</f>
        <v/>
      </c>
      <c r="D358" t="e">
        <f t="shared" ca="1" si="12"/>
        <v>#N/A</v>
      </c>
      <c r="E358" t="e">
        <f t="shared" ca="1" si="13"/>
        <v>#N/A</v>
      </c>
    </row>
    <row r="359" spans="1:5" x14ac:dyDescent="0.3">
      <c r="A359" t="str" cm="1">
        <f t="array" aca="1" ref="A359" ca="1">IF(OR(INDIRECT($C$26&amp;"!B"&amp;(ROW()-$C$32+$C$31))="",$C$1="M2"),"",1+ROW(A359)-$C$32)</f>
        <v/>
      </c>
      <c r="B359" t="str" cm="1">
        <f t="array" aca="1" ref="B359" ca="1">IF(OR(INDIRECT(C$26&amp;"!B"&amp;(ROW()-C$32+C$31))="",$C$1="M2"),"",1+ROW(B359)-C$32)</f>
        <v/>
      </c>
      <c r="C359" t="str" cm="1">
        <f t="array" aca="1" ref="C359" ca="1">IF(ROW()&gt;(C$33+C$32-C$31),"",GammaSelfNext(C$29,INDIRECT(C$26&amp;"!A"&amp;ROW()-C$32+C$31&amp;":F"&amp;ROW()-C$32+C$31),C358))</f>
        <v/>
      </c>
      <c r="D359" t="e">
        <f t="shared" ca="1" si="12"/>
        <v>#N/A</v>
      </c>
      <c r="E359" t="e">
        <f t="shared" ca="1" si="13"/>
        <v>#N/A</v>
      </c>
    </row>
    <row r="360" spans="1:5" x14ac:dyDescent="0.3">
      <c r="A360" t="str" cm="1">
        <f t="array" aca="1" ref="A360" ca="1">IF(OR(INDIRECT($C$26&amp;"!B"&amp;(ROW()-$C$32+$C$31))="",$C$1="M2"),"",1+ROW(A360)-$C$32)</f>
        <v/>
      </c>
      <c r="B360" t="str" cm="1">
        <f t="array" aca="1" ref="B360" ca="1">IF(OR(INDIRECT(C$26&amp;"!B"&amp;(ROW()-C$32+C$31))="",$C$1="M2"),"",1+ROW(B360)-C$32)</f>
        <v/>
      </c>
      <c r="C360" t="str" cm="1">
        <f t="array" aca="1" ref="C360" ca="1">IF(ROW()&gt;(C$33+C$32-C$31),"",GammaSelfNext(C$29,INDIRECT(C$26&amp;"!A"&amp;ROW()-C$32+C$31&amp;":F"&amp;ROW()-C$32+C$31),C359))</f>
        <v/>
      </c>
      <c r="D360" t="e">
        <f t="shared" ca="1" si="12"/>
        <v>#N/A</v>
      </c>
      <c r="E360" t="e">
        <f t="shared" ca="1" si="13"/>
        <v>#N/A</v>
      </c>
    </row>
    <row r="361" spans="1:5" x14ac:dyDescent="0.3">
      <c r="A361" t="str" cm="1">
        <f t="array" aca="1" ref="A361" ca="1">IF(OR(INDIRECT($C$26&amp;"!B"&amp;(ROW()-$C$32+$C$31))="",$C$1="M2"),"",1+ROW(A361)-$C$32)</f>
        <v/>
      </c>
      <c r="B361" t="str" cm="1">
        <f t="array" aca="1" ref="B361" ca="1">IF(OR(INDIRECT(C$26&amp;"!B"&amp;(ROW()-C$32+C$31))="",$C$1="M2"),"",1+ROW(B361)-C$32)</f>
        <v/>
      </c>
      <c r="C361" t="str" cm="1">
        <f t="array" aca="1" ref="C361" ca="1">IF(ROW()&gt;(C$33+C$32-C$31),"",GammaSelfNext(C$29,INDIRECT(C$26&amp;"!A"&amp;ROW()-C$32+C$31&amp;":F"&amp;ROW()-C$32+C$31),C360))</f>
        <v/>
      </c>
      <c r="D361" t="e">
        <f t="shared" ref="D361:D424" ca="1" si="14">IF(C361="",NA(),IMREAL(C361))</f>
        <v>#N/A</v>
      </c>
      <c r="E361" t="e">
        <f t="shared" ref="E361:E424" ca="1" si="15">IF(C361="",NA(),IMAGINARY(C361))</f>
        <v>#N/A</v>
      </c>
    </row>
    <row r="362" spans="1:5" x14ac:dyDescent="0.3">
      <c r="A362" t="str" cm="1">
        <f t="array" aca="1" ref="A362" ca="1">IF(OR(INDIRECT($C$26&amp;"!B"&amp;(ROW()-$C$32+$C$31))="",$C$1="M2"),"",1+ROW(A362)-$C$32)</f>
        <v/>
      </c>
      <c r="B362" t="str" cm="1">
        <f t="array" aca="1" ref="B362" ca="1">IF(OR(INDIRECT(C$26&amp;"!B"&amp;(ROW()-C$32+C$31))="",$C$1="M2"),"",1+ROW(B362)-C$32)</f>
        <v/>
      </c>
      <c r="C362" t="str" cm="1">
        <f t="array" aca="1" ref="C362" ca="1">IF(ROW()&gt;(C$33+C$32-C$31),"",GammaSelfNext(C$29,INDIRECT(C$26&amp;"!A"&amp;ROW()-C$32+C$31&amp;":F"&amp;ROW()-C$32+C$31),C361))</f>
        <v/>
      </c>
      <c r="D362" t="e">
        <f t="shared" ca="1" si="14"/>
        <v>#N/A</v>
      </c>
      <c r="E362" t="e">
        <f t="shared" ca="1" si="15"/>
        <v>#N/A</v>
      </c>
    </row>
    <row r="363" spans="1:5" x14ac:dyDescent="0.3">
      <c r="A363" t="str" cm="1">
        <f t="array" aca="1" ref="A363" ca="1">IF(OR(INDIRECT($C$26&amp;"!B"&amp;(ROW()-$C$32+$C$31))="",$C$1="M2"),"",1+ROW(A363)-$C$32)</f>
        <v/>
      </c>
      <c r="B363" t="str" cm="1">
        <f t="array" aca="1" ref="B363" ca="1">IF(OR(INDIRECT(C$26&amp;"!B"&amp;(ROW()-C$32+C$31))="",$C$1="M2"),"",1+ROW(B363)-C$32)</f>
        <v/>
      </c>
      <c r="C363" t="str" cm="1">
        <f t="array" aca="1" ref="C363" ca="1">IF(ROW()&gt;(C$33+C$32-C$31),"",GammaSelfNext(C$29,INDIRECT(C$26&amp;"!A"&amp;ROW()-C$32+C$31&amp;":F"&amp;ROW()-C$32+C$31),C362))</f>
        <v/>
      </c>
      <c r="D363" t="e">
        <f t="shared" ca="1" si="14"/>
        <v>#N/A</v>
      </c>
      <c r="E363" t="e">
        <f t="shared" ca="1" si="15"/>
        <v>#N/A</v>
      </c>
    </row>
    <row r="364" spans="1:5" x14ac:dyDescent="0.3">
      <c r="A364" t="str" cm="1">
        <f t="array" aca="1" ref="A364" ca="1">IF(OR(INDIRECT($C$26&amp;"!B"&amp;(ROW()-$C$32+$C$31))="",$C$1="M2"),"",1+ROW(A364)-$C$32)</f>
        <v/>
      </c>
      <c r="B364" t="str" cm="1">
        <f t="array" aca="1" ref="B364" ca="1">IF(OR(INDIRECT(C$26&amp;"!B"&amp;(ROW()-C$32+C$31))="",$C$1="M2"),"",1+ROW(B364)-C$32)</f>
        <v/>
      </c>
      <c r="C364" t="str" cm="1">
        <f t="array" aca="1" ref="C364" ca="1">IF(ROW()&gt;(C$33+C$32-C$31),"",GammaSelfNext(C$29,INDIRECT(C$26&amp;"!A"&amp;ROW()-C$32+C$31&amp;":F"&amp;ROW()-C$32+C$31),C363))</f>
        <v/>
      </c>
      <c r="D364" t="e">
        <f t="shared" ca="1" si="14"/>
        <v>#N/A</v>
      </c>
      <c r="E364" t="e">
        <f t="shared" ca="1" si="15"/>
        <v>#N/A</v>
      </c>
    </row>
    <row r="365" spans="1:5" x14ac:dyDescent="0.3">
      <c r="A365" t="str" cm="1">
        <f t="array" aca="1" ref="A365" ca="1">IF(OR(INDIRECT($C$26&amp;"!B"&amp;(ROW()-$C$32+$C$31))="",$C$1="M2"),"",1+ROW(A365)-$C$32)</f>
        <v/>
      </c>
      <c r="B365" t="str" cm="1">
        <f t="array" aca="1" ref="B365" ca="1">IF(OR(INDIRECT(C$26&amp;"!B"&amp;(ROW()-C$32+C$31))="",$C$1="M2"),"",1+ROW(B365)-C$32)</f>
        <v/>
      </c>
      <c r="C365" t="str" cm="1">
        <f t="array" aca="1" ref="C365" ca="1">IF(ROW()&gt;(C$33+C$32-C$31),"",GammaSelfNext(C$29,INDIRECT(C$26&amp;"!A"&amp;ROW()-C$32+C$31&amp;":F"&amp;ROW()-C$32+C$31),C364))</f>
        <v/>
      </c>
      <c r="D365" t="e">
        <f t="shared" ca="1" si="14"/>
        <v>#N/A</v>
      </c>
      <c r="E365" t="e">
        <f t="shared" ca="1" si="15"/>
        <v>#N/A</v>
      </c>
    </row>
    <row r="366" spans="1:5" x14ac:dyDescent="0.3">
      <c r="A366" t="str" cm="1">
        <f t="array" aca="1" ref="A366" ca="1">IF(OR(INDIRECT($C$26&amp;"!B"&amp;(ROW()-$C$32+$C$31))="",$C$1="M2"),"",1+ROW(A366)-$C$32)</f>
        <v/>
      </c>
      <c r="B366" t="str" cm="1">
        <f t="array" aca="1" ref="B366" ca="1">IF(OR(INDIRECT(C$26&amp;"!B"&amp;(ROW()-C$32+C$31))="",$C$1="M2"),"",1+ROW(B366)-C$32)</f>
        <v/>
      </c>
      <c r="C366" t="str" cm="1">
        <f t="array" aca="1" ref="C366" ca="1">IF(ROW()&gt;(C$33+C$32-C$31),"",GammaSelfNext(C$29,INDIRECT(C$26&amp;"!A"&amp;ROW()-C$32+C$31&amp;":F"&amp;ROW()-C$32+C$31),C365))</f>
        <v/>
      </c>
      <c r="D366" t="e">
        <f t="shared" ca="1" si="14"/>
        <v>#N/A</v>
      </c>
      <c r="E366" t="e">
        <f t="shared" ca="1" si="15"/>
        <v>#N/A</v>
      </c>
    </row>
    <row r="367" spans="1:5" x14ac:dyDescent="0.3">
      <c r="A367" t="str" cm="1">
        <f t="array" aca="1" ref="A367" ca="1">IF(OR(INDIRECT($C$26&amp;"!B"&amp;(ROW()-$C$32+$C$31))="",$C$1="M2"),"",1+ROW(A367)-$C$32)</f>
        <v/>
      </c>
      <c r="B367" t="str" cm="1">
        <f t="array" aca="1" ref="B367" ca="1">IF(OR(INDIRECT(C$26&amp;"!B"&amp;(ROW()-C$32+C$31))="",$C$1="M2"),"",1+ROW(B367)-C$32)</f>
        <v/>
      </c>
      <c r="C367" t="str" cm="1">
        <f t="array" aca="1" ref="C367" ca="1">IF(ROW()&gt;(C$33+C$32-C$31),"",GammaSelfNext(C$29,INDIRECT(C$26&amp;"!A"&amp;ROW()-C$32+C$31&amp;":F"&amp;ROW()-C$32+C$31),C366))</f>
        <v/>
      </c>
      <c r="D367" t="e">
        <f t="shared" ca="1" si="14"/>
        <v>#N/A</v>
      </c>
      <c r="E367" t="e">
        <f t="shared" ca="1" si="15"/>
        <v>#N/A</v>
      </c>
    </row>
    <row r="368" spans="1:5" x14ac:dyDescent="0.3">
      <c r="A368" t="str" cm="1">
        <f t="array" aca="1" ref="A368" ca="1">IF(OR(INDIRECT($C$26&amp;"!B"&amp;(ROW()-$C$32+$C$31))="",$C$1="M2"),"",1+ROW(A368)-$C$32)</f>
        <v/>
      </c>
      <c r="B368" t="str" cm="1">
        <f t="array" aca="1" ref="B368" ca="1">IF(OR(INDIRECT(C$26&amp;"!B"&amp;(ROW()-C$32+C$31))="",$C$1="M2"),"",1+ROW(B368)-C$32)</f>
        <v/>
      </c>
      <c r="C368" t="str" cm="1">
        <f t="array" aca="1" ref="C368" ca="1">IF(ROW()&gt;(C$33+C$32-C$31),"",GammaSelfNext(C$29,INDIRECT(C$26&amp;"!A"&amp;ROW()-C$32+C$31&amp;":F"&amp;ROW()-C$32+C$31),C367))</f>
        <v/>
      </c>
      <c r="D368" t="e">
        <f t="shared" ca="1" si="14"/>
        <v>#N/A</v>
      </c>
      <c r="E368" t="e">
        <f t="shared" ca="1" si="15"/>
        <v>#N/A</v>
      </c>
    </row>
    <row r="369" spans="1:5" x14ac:dyDescent="0.3">
      <c r="A369" t="str" cm="1">
        <f t="array" aca="1" ref="A369" ca="1">IF(OR(INDIRECT($C$26&amp;"!B"&amp;(ROW()-$C$32+$C$31))="",$C$1="M2"),"",1+ROW(A369)-$C$32)</f>
        <v/>
      </c>
      <c r="B369" t="str" cm="1">
        <f t="array" aca="1" ref="B369" ca="1">IF(OR(INDIRECT(C$26&amp;"!B"&amp;(ROW()-C$32+C$31))="",$C$1="M2"),"",1+ROW(B369)-C$32)</f>
        <v/>
      </c>
      <c r="C369" t="str" cm="1">
        <f t="array" aca="1" ref="C369" ca="1">IF(ROW()&gt;(C$33+C$32-C$31),"",GammaSelfNext(C$29,INDIRECT(C$26&amp;"!A"&amp;ROW()-C$32+C$31&amp;":F"&amp;ROW()-C$32+C$31),C368))</f>
        <v/>
      </c>
      <c r="D369" t="e">
        <f t="shared" ca="1" si="14"/>
        <v>#N/A</v>
      </c>
      <c r="E369" t="e">
        <f t="shared" ca="1" si="15"/>
        <v>#N/A</v>
      </c>
    </row>
    <row r="370" spans="1:5" x14ac:dyDescent="0.3">
      <c r="A370" t="str" cm="1">
        <f t="array" aca="1" ref="A370" ca="1">IF(OR(INDIRECT($C$26&amp;"!B"&amp;(ROW()-$C$32+$C$31))="",$C$1="M2"),"",1+ROW(A370)-$C$32)</f>
        <v/>
      </c>
      <c r="B370" t="str" cm="1">
        <f t="array" aca="1" ref="B370" ca="1">IF(OR(INDIRECT(C$26&amp;"!B"&amp;(ROW()-C$32+C$31))="",$C$1="M2"),"",1+ROW(B370)-C$32)</f>
        <v/>
      </c>
      <c r="C370" t="str" cm="1">
        <f t="array" aca="1" ref="C370" ca="1">IF(ROW()&gt;(C$33+C$32-C$31),"",GammaSelfNext(C$29,INDIRECT(C$26&amp;"!A"&amp;ROW()-C$32+C$31&amp;":F"&amp;ROW()-C$32+C$31),C369))</f>
        <v/>
      </c>
      <c r="D370" t="e">
        <f t="shared" ca="1" si="14"/>
        <v>#N/A</v>
      </c>
      <c r="E370" t="e">
        <f t="shared" ca="1" si="15"/>
        <v>#N/A</v>
      </c>
    </row>
    <row r="371" spans="1:5" x14ac:dyDescent="0.3">
      <c r="A371" t="str" cm="1">
        <f t="array" aca="1" ref="A371" ca="1">IF(OR(INDIRECT($C$26&amp;"!B"&amp;(ROW()-$C$32+$C$31))="",$C$1="M2"),"",1+ROW(A371)-$C$32)</f>
        <v/>
      </c>
      <c r="B371" t="str" cm="1">
        <f t="array" aca="1" ref="B371" ca="1">IF(OR(INDIRECT(C$26&amp;"!B"&amp;(ROW()-C$32+C$31))="",$C$1="M2"),"",1+ROW(B371)-C$32)</f>
        <v/>
      </c>
      <c r="C371" t="str" cm="1">
        <f t="array" aca="1" ref="C371" ca="1">IF(ROW()&gt;(C$33+C$32-C$31),"",GammaSelfNext(C$29,INDIRECT(C$26&amp;"!A"&amp;ROW()-C$32+C$31&amp;":F"&amp;ROW()-C$32+C$31),C370))</f>
        <v/>
      </c>
      <c r="D371" t="e">
        <f t="shared" ca="1" si="14"/>
        <v>#N/A</v>
      </c>
      <c r="E371" t="e">
        <f t="shared" ca="1" si="15"/>
        <v>#N/A</v>
      </c>
    </row>
    <row r="372" spans="1:5" x14ac:dyDescent="0.3">
      <c r="A372" t="str" cm="1">
        <f t="array" aca="1" ref="A372" ca="1">IF(OR(INDIRECT($C$26&amp;"!B"&amp;(ROW()-$C$32+$C$31))="",$C$1="M2"),"",1+ROW(A372)-$C$32)</f>
        <v/>
      </c>
      <c r="B372" t="str" cm="1">
        <f t="array" aca="1" ref="B372" ca="1">IF(OR(INDIRECT(C$26&amp;"!B"&amp;(ROW()-C$32+C$31))="",$C$1="M2"),"",1+ROW(B372)-C$32)</f>
        <v/>
      </c>
      <c r="C372" t="str" cm="1">
        <f t="array" aca="1" ref="C372" ca="1">IF(ROW()&gt;(C$33+C$32-C$31),"",GammaSelfNext(C$29,INDIRECT(C$26&amp;"!A"&amp;ROW()-C$32+C$31&amp;":F"&amp;ROW()-C$32+C$31),C371))</f>
        <v/>
      </c>
      <c r="D372" t="e">
        <f t="shared" ca="1" si="14"/>
        <v>#N/A</v>
      </c>
      <c r="E372" t="e">
        <f t="shared" ca="1" si="15"/>
        <v>#N/A</v>
      </c>
    </row>
    <row r="373" spans="1:5" x14ac:dyDescent="0.3">
      <c r="A373" t="str" cm="1">
        <f t="array" aca="1" ref="A373" ca="1">IF(OR(INDIRECT($C$26&amp;"!B"&amp;(ROW()-$C$32+$C$31))="",$C$1="M2"),"",1+ROW(A373)-$C$32)</f>
        <v/>
      </c>
      <c r="B373" t="str" cm="1">
        <f t="array" aca="1" ref="B373" ca="1">IF(OR(INDIRECT(C$26&amp;"!B"&amp;(ROW()-C$32+C$31))="",$C$1="M2"),"",1+ROW(B373)-C$32)</f>
        <v/>
      </c>
      <c r="C373" t="str" cm="1">
        <f t="array" aca="1" ref="C373" ca="1">IF(ROW()&gt;(C$33+C$32-C$31),"",GammaSelfNext(C$29,INDIRECT(C$26&amp;"!A"&amp;ROW()-C$32+C$31&amp;":F"&amp;ROW()-C$32+C$31),C372))</f>
        <v/>
      </c>
      <c r="D373" t="e">
        <f t="shared" ca="1" si="14"/>
        <v>#N/A</v>
      </c>
      <c r="E373" t="e">
        <f t="shared" ca="1" si="15"/>
        <v>#N/A</v>
      </c>
    </row>
    <row r="374" spans="1:5" x14ac:dyDescent="0.3">
      <c r="A374" t="str" cm="1">
        <f t="array" aca="1" ref="A374" ca="1">IF(OR(INDIRECT($C$26&amp;"!B"&amp;(ROW()-$C$32+$C$31))="",$C$1="M2"),"",1+ROW(A374)-$C$32)</f>
        <v/>
      </c>
      <c r="B374" t="str" cm="1">
        <f t="array" aca="1" ref="B374" ca="1">IF(OR(INDIRECT(C$26&amp;"!B"&amp;(ROW()-C$32+C$31))="",$C$1="M2"),"",1+ROW(B374)-C$32)</f>
        <v/>
      </c>
      <c r="C374" t="str" cm="1">
        <f t="array" aca="1" ref="C374" ca="1">IF(ROW()&gt;(C$33+C$32-C$31),"",GammaSelfNext(C$29,INDIRECT(C$26&amp;"!A"&amp;ROW()-C$32+C$31&amp;":F"&amp;ROW()-C$32+C$31),C373))</f>
        <v/>
      </c>
      <c r="D374" t="e">
        <f t="shared" ca="1" si="14"/>
        <v>#N/A</v>
      </c>
      <c r="E374" t="e">
        <f t="shared" ca="1" si="15"/>
        <v>#N/A</v>
      </c>
    </row>
    <row r="375" spans="1:5" x14ac:dyDescent="0.3">
      <c r="A375" t="str" cm="1">
        <f t="array" aca="1" ref="A375" ca="1">IF(OR(INDIRECT($C$26&amp;"!B"&amp;(ROW()-$C$32+$C$31))="",$C$1="M2"),"",1+ROW(A375)-$C$32)</f>
        <v/>
      </c>
      <c r="B375" t="str" cm="1">
        <f t="array" aca="1" ref="B375" ca="1">IF(OR(INDIRECT(C$26&amp;"!B"&amp;(ROW()-C$32+C$31))="",$C$1="M2"),"",1+ROW(B375)-C$32)</f>
        <v/>
      </c>
      <c r="C375" t="str" cm="1">
        <f t="array" aca="1" ref="C375" ca="1">IF(ROW()&gt;(C$33+C$32-C$31),"",GammaSelfNext(C$29,INDIRECT(C$26&amp;"!A"&amp;ROW()-C$32+C$31&amp;":F"&amp;ROW()-C$32+C$31),C374))</f>
        <v/>
      </c>
      <c r="D375" t="e">
        <f t="shared" ca="1" si="14"/>
        <v>#N/A</v>
      </c>
      <c r="E375" t="e">
        <f t="shared" ca="1" si="15"/>
        <v>#N/A</v>
      </c>
    </row>
    <row r="376" spans="1:5" x14ac:dyDescent="0.3">
      <c r="A376" t="str" cm="1">
        <f t="array" aca="1" ref="A376" ca="1">IF(OR(INDIRECT($C$26&amp;"!B"&amp;(ROW()-$C$32+$C$31))="",$C$1="M2"),"",1+ROW(A376)-$C$32)</f>
        <v/>
      </c>
      <c r="B376" t="str" cm="1">
        <f t="array" aca="1" ref="B376" ca="1">IF(OR(INDIRECT(C$26&amp;"!B"&amp;(ROW()-C$32+C$31))="",$C$1="M2"),"",1+ROW(B376)-C$32)</f>
        <v/>
      </c>
      <c r="C376" t="str" cm="1">
        <f t="array" aca="1" ref="C376" ca="1">IF(ROW()&gt;(C$33+C$32-C$31),"",GammaSelfNext(C$29,INDIRECT(C$26&amp;"!A"&amp;ROW()-C$32+C$31&amp;":F"&amp;ROW()-C$32+C$31),C375))</f>
        <v/>
      </c>
      <c r="D376" t="e">
        <f t="shared" ca="1" si="14"/>
        <v>#N/A</v>
      </c>
      <c r="E376" t="e">
        <f t="shared" ca="1" si="15"/>
        <v>#N/A</v>
      </c>
    </row>
    <row r="377" spans="1:5" x14ac:dyDescent="0.3">
      <c r="A377" t="str" cm="1">
        <f t="array" aca="1" ref="A377" ca="1">IF(OR(INDIRECT($C$26&amp;"!B"&amp;(ROW()-$C$32+$C$31))="",$C$1="M2"),"",1+ROW(A377)-$C$32)</f>
        <v/>
      </c>
      <c r="B377" t="str" cm="1">
        <f t="array" aca="1" ref="B377" ca="1">IF(OR(INDIRECT(C$26&amp;"!B"&amp;(ROW()-C$32+C$31))="",$C$1="M2"),"",1+ROW(B377)-C$32)</f>
        <v/>
      </c>
      <c r="C377" t="str" cm="1">
        <f t="array" aca="1" ref="C377" ca="1">IF(ROW()&gt;(C$33+C$32-C$31),"",GammaSelfNext(C$29,INDIRECT(C$26&amp;"!A"&amp;ROW()-C$32+C$31&amp;":F"&amp;ROW()-C$32+C$31),C376))</f>
        <v/>
      </c>
      <c r="D377" t="e">
        <f t="shared" ca="1" si="14"/>
        <v>#N/A</v>
      </c>
      <c r="E377" t="e">
        <f t="shared" ca="1" si="15"/>
        <v>#N/A</v>
      </c>
    </row>
    <row r="378" spans="1:5" x14ac:dyDescent="0.3">
      <c r="A378" t="str" cm="1">
        <f t="array" aca="1" ref="A378" ca="1">IF(OR(INDIRECT($C$26&amp;"!B"&amp;(ROW()-$C$32+$C$31))="",$C$1="M2"),"",1+ROW(A378)-$C$32)</f>
        <v/>
      </c>
      <c r="B378" t="str" cm="1">
        <f t="array" aca="1" ref="B378" ca="1">IF(OR(INDIRECT(C$26&amp;"!B"&amp;(ROW()-C$32+C$31))="",$C$1="M2"),"",1+ROW(B378)-C$32)</f>
        <v/>
      </c>
      <c r="C378" t="str" cm="1">
        <f t="array" aca="1" ref="C378" ca="1">IF(ROW()&gt;(C$33+C$32-C$31),"",GammaSelfNext(C$29,INDIRECT(C$26&amp;"!A"&amp;ROW()-C$32+C$31&amp;":F"&amp;ROW()-C$32+C$31),C377))</f>
        <v/>
      </c>
      <c r="D378" t="e">
        <f t="shared" ca="1" si="14"/>
        <v>#N/A</v>
      </c>
      <c r="E378" t="e">
        <f t="shared" ca="1" si="15"/>
        <v>#N/A</v>
      </c>
    </row>
    <row r="379" spans="1:5" x14ac:dyDescent="0.3">
      <c r="A379" t="str" cm="1">
        <f t="array" aca="1" ref="A379" ca="1">IF(OR(INDIRECT($C$26&amp;"!B"&amp;(ROW()-$C$32+$C$31))="",$C$1="M2"),"",1+ROW(A379)-$C$32)</f>
        <v/>
      </c>
      <c r="B379" t="str" cm="1">
        <f t="array" aca="1" ref="B379" ca="1">IF(OR(INDIRECT(C$26&amp;"!B"&amp;(ROW()-C$32+C$31))="",$C$1="M2"),"",1+ROW(B379)-C$32)</f>
        <v/>
      </c>
      <c r="C379" t="str" cm="1">
        <f t="array" aca="1" ref="C379" ca="1">IF(ROW()&gt;(C$33+C$32-C$31),"",GammaSelfNext(C$29,INDIRECT(C$26&amp;"!A"&amp;ROW()-C$32+C$31&amp;":F"&amp;ROW()-C$32+C$31),C378))</f>
        <v/>
      </c>
      <c r="D379" t="e">
        <f t="shared" ca="1" si="14"/>
        <v>#N/A</v>
      </c>
      <c r="E379" t="e">
        <f t="shared" ca="1" si="15"/>
        <v>#N/A</v>
      </c>
    </row>
    <row r="380" spans="1:5" x14ac:dyDescent="0.3">
      <c r="A380" t="str" cm="1">
        <f t="array" aca="1" ref="A380" ca="1">IF(OR(INDIRECT($C$26&amp;"!B"&amp;(ROW()-$C$32+$C$31))="",$C$1="M2"),"",1+ROW(A380)-$C$32)</f>
        <v/>
      </c>
      <c r="B380" t="str" cm="1">
        <f t="array" aca="1" ref="B380" ca="1">IF(OR(INDIRECT(C$26&amp;"!B"&amp;(ROW()-C$32+C$31))="",$C$1="M2"),"",1+ROW(B380)-C$32)</f>
        <v/>
      </c>
      <c r="C380" t="str" cm="1">
        <f t="array" aca="1" ref="C380" ca="1">IF(ROW()&gt;(C$33+C$32-C$31),"",GammaSelfNext(C$29,INDIRECT(C$26&amp;"!A"&amp;ROW()-C$32+C$31&amp;":F"&amp;ROW()-C$32+C$31),C379))</f>
        <v/>
      </c>
      <c r="D380" t="e">
        <f t="shared" ca="1" si="14"/>
        <v>#N/A</v>
      </c>
      <c r="E380" t="e">
        <f t="shared" ca="1" si="15"/>
        <v>#N/A</v>
      </c>
    </row>
    <row r="381" spans="1:5" x14ac:dyDescent="0.3">
      <c r="A381" t="str" cm="1">
        <f t="array" aca="1" ref="A381" ca="1">IF(OR(INDIRECT($C$26&amp;"!B"&amp;(ROW()-$C$32+$C$31))="",$C$1="M2"),"",1+ROW(A381)-$C$32)</f>
        <v/>
      </c>
      <c r="B381" t="str" cm="1">
        <f t="array" aca="1" ref="B381" ca="1">IF(OR(INDIRECT(C$26&amp;"!B"&amp;(ROW()-C$32+C$31))="",$C$1="M2"),"",1+ROW(B381)-C$32)</f>
        <v/>
      </c>
      <c r="C381" t="str" cm="1">
        <f t="array" aca="1" ref="C381" ca="1">IF(ROW()&gt;(C$33+C$32-C$31),"",GammaSelfNext(C$29,INDIRECT(C$26&amp;"!A"&amp;ROW()-C$32+C$31&amp;":F"&amp;ROW()-C$32+C$31),C380))</f>
        <v/>
      </c>
      <c r="D381" t="e">
        <f t="shared" ca="1" si="14"/>
        <v>#N/A</v>
      </c>
      <c r="E381" t="e">
        <f t="shared" ca="1" si="15"/>
        <v>#N/A</v>
      </c>
    </row>
    <row r="382" spans="1:5" x14ac:dyDescent="0.3">
      <c r="A382" t="str" cm="1">
        <f t="array" aca="1" ref="A382" ca="1">IF(OR(INDIRECT($C$26&amp;"!B"&amp;(ROW()-$C$32+$C$31))="",$C$1="M2"),"",1+ROW(A382)-$C$32)</f>
        <v/>
      </c>
      <c r="B382" t="str" cm="1">
        <f t="array" aca="1" ref="B382" ca="1">IF(OR(INDIRECT(C$26&amp;"!B"&amp;(ROW()-C$32+C$31))="",$C$1="M2"),"",1+ROW(B382)-C$32)</f>
        <v/>
      </c>
      <c r="C382" t="str" cm="1">
        <f t="array" aca="1" ref="C382" ca="1">IF(ROW()&gt;(C$33+C$32-C$31),"",GammaSelfNext(C$29,INDIRECT(C$26&amp;"!A"&amp;ROW()-C$32+C$31&amp;":F"&amp;ROW()-C$32+C$31),C381))</f>
        <v/>
      </c>
      <c r="D382" t="e">
        <f t="shared" ca="1" si="14"/>
        <v>#N/A</v>
      </c>
      <c r="E382" t="e">
        <f t="shared" ca="1" si="15"/>
        <v>#N/A</v>
      </c>
    </row>
    <row r="383" spans="1:5" x14ac:dyDescent="0.3">
      <c r="A383" t="str" cm="1">
        <f t="array" aca="1" ref="A383" ca="1">IF(OR(INDIRECT($C$26&amp;"!B"&amp;(ROW()-$C$32+$C$31))="",$C$1="M2"),"",1+ROW(A383)-$C$32)</f>
        <v/>
      </c>
      <c r="B383" t="str" cm="1">
        <f t="array" aca="1" ref="B383" ca="1">IF(OR(INDIRECT(C$26&amp;"!B"&amp;(ROW()-C$32+C$31))="",$C$1="M2"),"",1+ROW(B383)-C$32)</f>
        <v/>
      </c>
      <c r="C383" t="str" cm="1">
        <f t="array" aca="1" ref="C383" ca="1">IF(ROW()&gt;(C$33+C$32-C$31),"",GammaSelfNext(C$29,INDIRECT(C$26&amp;"!A"&amp;ROW()-C$32+C$31&amp;":F"&amp;ROW()-C$32+C$31),C382))</f>
        <v/>
      </c>
      <c r="D383" t="e">
        <f t="shared" ca="1" si="14"/>
        <v>#N/A</v>
      </c>
      <c r="E383" t="e">
        <f t="shared" ca="1" si="15"/>
        <v>#N/A</v>
      </c>
    </row>
    <row r="384" spans="1:5" x14ac:dyDescent="0.3">
      <c r="A384" t="str" cm="1">
        <f t="array" aca="1" ref="A384" ca="1">IF(OR(INDIRECT($C$26&amp;"!B"&amp;(ROW()-$C$32+$C$31))="",$C$1="M2"),"",1+ROW(A384)-$C$32)</f>
        <v/>
      </c>
      <c r="B384" t="str" cm="1">
        <f t="array" aca="1" ref="B384" ca="1">IF(OR(INDIRECT(C$26&amp;"!B"&amp;(ROW()-C$32+C$31))="",$C$1="M2"),"",1+ROW(B384)-C$32)</f>
        <v/>
      </c>
      <c r="C384" t="str" cm="1">
        <f t="array" aca="1" ref="C384" ca="1">IF(ROW()&gt;(C$33+C$32-C$31),"",GammaSelfNext(C$29,INDIRECT(C$26&amp;"!A"&amp;ROW()-C$32+C$31&amp;":F"&amp;ROW()-C$32+C$31),C383))</f>
        <v/>
      </c>
      <c r="D384" t="e">
        <f t="shared" ca="1" si="14"/>
        <v>#N/A</v>
      </c>
      <c r="E384" t="e">
        <f t="shared" ca="1" si="15"/>
        <v>#N/A</v>
      </c>
    </row>
    <row r="385" spans="1:5" x14ac:dyDescent="0.3">
      <c r="A385" t="str" cm="1">
        <f t="array" aca="1" ref="A385" ca="1">IF(OR(INDIRECT($C$26&amp;"!B"&amp;(ROW()-$C$32+$C$31))="",$C$1="M2"),"",1+ROW(A385)-$C$32)</f>
        <v/>
      </c>
      <c r="B385" t="str" cm="1">
        <f t="array" aca="1" ref="B385" ca="1">IF(OR(INDIRECT(C$26&amp;"!B"&amp;(ROW()-C$32+C$31))="",$C$1="M2"),"",1+ROW(B385)-C$32)</f>
        <v/>
      </c>
      <c r="C385" t="str" cm="1">
        <f t="array" aca="1" ref="C385" ca="1">IF(ROW()&gt;(C$33+C$32-C$31),"",GammaSelfNext(C$29,INDIRECT(C$26&amp;"!A"&amp;ROW()-C$32+C$31&amp;":F"&amp;ROW()-C$32+C$31),C384))</f>
        <v/>
      </c>
      <c r="D385" t="e">
        <f t="shared" ca="1" si="14"/>
        <v>#N/A</v>
      </c>
      <c r="E385" t="e">
        <f t="shared" ca="1" si="15"/>
        <v>#N/A</v>
      </c>
    </row>
    <row r="386" spans="1:5" x14ac:dyDescent="0.3">
      <c r="A386" t="str" cm="1">
        <f t="array" aca="1" ref="A386" ca="1">IF(OR(INDIRECT($C$26&amp;"!B"&amp;(ROW()-$C$32+$C$31))="",$C$1="M2"),"",1+ROW(A386)-$C$32)</f>
        <v/>
      </c>
      <c r="B386" t="str" cm="1">
        <f t="array" aca="1" ref="B386" ca="1">IF(OR(INDIRECT(C$26&amp;"!B"&amp;(ROW()-C$32+C$31))="",$C$1="M2"),"",1+ROW(B386)-C$32)</f>
        <v/>
      </c>
      <c r="C386" t="str" cm="1">
        <f t="array" aca="1" ref="C386" ca="1">IF(ROW()&gt;(C$33+C$32-C$31),"",GammaSelfNext(C$29,INDIRECT(C$26&amp;"!A"&amp;ROW()-C$32+C$31&amp;":F"&amp;ROW()-C$32+C$31),C385))</f>
        <v/>
      </c>
      <c r="D386" t="e">
        <f t="shared" ca="1" si="14"/>
        <v>#N/A</v>
      </c>
      <c r="E386" t="e">
        <f t="shared" ca="1" si="15"/>
        <v>#N/A</v>
      </c>
    </row>
    <row r="387" spans="1:5" x14ac:dyDescent="0.3">
      <c r="A387" t="str" cm="1">
        <f t="array" aca="1" ref="A387" ca="1">IF(OR(INDIRECT($C$26&amp;"!B"&amp;(ROW()-$C$32+$C$31))="",$C$1="M2"),"",1+ROW(A387)-$C$32)</f>
        <v/>
      </c>
      <c r="B387" t="str" cm="1">
        <f t="array" aca="1" ref="B387" ca="1">IF(OR(INDIRECT(C$26&amp;"!B"&amp;(ROW()-C$32+C$31))="",$C$1="M2"),"",1+ROW(B387)-C$32)</f>
        <v/>
      </c>
      <c r="C387" t="str" cm="1">
        <f t="array" aca="1" ref="C387" ca="1">IF(ROW()&gt;(C$33+C$32-C$31),"",GammaSelfNext(C$29,INDIRECT(C$26&amp;"!A"&amp;ROW()-C$32+C$31&amp;":F"&amp;ROW()-C$32+C$31),C386))</f>
        <v/>
      </c>
      <c r="D387" t="e">
        <f t="shared" ca="1" si="14"/>
        <v>#N/A</v>
      </c>
      <c r="E387" t="e">
        <f t="shared" ca="1" si="15"/>
        <v>#N/A</v>
      </c>
    </row>
    <row r="388" spans="1:5" x14ac:dyDescent="0.3">
      <c r="A388" t="str" cm="1">
        <f t="array" aca="1" ref="A388" ca="1">IF(OR(INDIRECT($C$26&amp;"!B"&amp;(ROW()-$C$32+$C$31))="",$C$1="M2"),"",1+ROW(A388)-$C$32)</f>
        <v/>
      </c>
      <c r="B388" t="str" cm="1">
        <f t="array" aca="1" ref="B388" ca="1">IF(OR(INDIRECT(C$26&amp;"!B"&amp;(ROW()-C$32+C$31))="",$C$1="M2"),"",1+ROW(B388)-C$32)</f>
        <v/>
      </c>
      <c r="C388" t="str" cm="1">
        <f t="array" aca="1" ref="C388" ca="1">IF(ROW()&gt;(C$33+C$32-C$31),"",GammaSelfNext(C$29,INDIRECT(C$26&amp;"!A"&amp;ROW()-C$32+C$31&amp;":F"&amp;ROW()-C$32+C$31),C387))</f>
        <v/>
      </c>
      <c r="D388" t="e">
        <f t="shared" ca="1" si="14"/>
        <v>#N/A</v>
      </c>
      <c r="E388" t="e">
        <f t="shared" ca="1" si="15"/>
        <v>#N/A</v>
      </c>
    </row>
    <row r="389" spans="1:5" x14ac:dyDescent="0.3">
      <c r="A389" t="str" cm="1">
        <f t="array" aca="1" ref="A389" ca="1">IF(OR(INDIRECT($C$26&amp;"!B"&amp;(ROW()-$C$32+$C$31))="",$C$1="M2"),"",1+ROW(A389)-$C$32)</f>
        <v/>
      </c>
      <c r="B389" t="str" cm="1">
        <f t="array" aca="1" ref="B389" ca="1">IF(OR(INDIRECT(C$26&amp;"!B"&amp;(ROW()-C$32+C$31))="",$C$1="M2"),"",1+ROW(B389)-C$32)</f>
        <v/>
      </c>
      <c r="C389" t="str" cm="1">
        <f t="array" aca="1" ref="C389" ca="1">IF(ROW()&gt;(C$33+C$32-C$31),"",GammaSelfNext(C$29,INDIRECT(C$26&amp;"!A"&amp;ROW()-C$32+C$31&amp;":F"&amp;ROW()-C$32+C$31),C388))</f>
        <v/>
      </c>
      <c r="D389" t="e">
        <f t="shared" ca="1" si="14"/>
        <v>#N/A</v>
      </c>
      <c r="E389" t="e">
        <f t="shared" ca="1" si="15"/>
        <v>#N/A</v>
      </c>
    </row>
    <row r="390" spans="1:5" x14ac:dyDescent="0.3">
      <c r="A390" t="str" cm="1">
        <f t="array" aca="1" ref="A390" ca="1">IF(OR(INDIRECT($C$26&amp;"!B"&amp;(ROW()-$C$32+$C$31))="",$C$1="M2"),"",1+ROW(A390)-$C$32)</f>
        <v/>
      </c>
      <c r="B390" t="str" cm="1">
        <f t="array" aca="1" ref="B390" ca="1">IF(OR(INDIRECT(C$26&amp;"!B"&amp;(ROW()-C$32+C$31))="",$C$1="M2"),"",1+ROW(B390)-C$32)</f>
        <v/>
      </c>
      <c r="C390" t="str" cm="1">
        <f t="array" aca="1" ref="C390" ca="1">IF(ROW()&gt;(C$33+C$32-C$31),"",GammaSelfNext(C$29,INDIRECT(C$26&amp;"!A"&amp;ROW()-C$32+C$31&amp;":F"&amp;ROW()-C$32+C$31),C389))</f>
        <v/>
      </c>
      <c r="D390" t="e">
        <f t="shared" ca="1" si="14"/>
        <v>#N/A</v>
      </c>
      <c r="E390" t="e">
        <f t="shared" ca="1" si="15"/>
        <v>#N/A</v>
      </c>
    </row>
    <row r="391" spans="1:5" x14ac:dyDescent="0.3">
      <c r="A391" t="str" cm="1">
        <f t="array" aca="1" ref="A391" ca="1">IF(OR(INDIRECT($C$26&amp;"!B"&amp;(ROW()-$C$32+$C$31))="",$C$1="M2"),"",1+ROW(A391)-$C$32)</f>
        <v/>
      </c>
      <c r="B391" t="str" cm="1">
        <f t="array" aca="1" ref="B391" ca="1">IF(OR(INDIRECT(C$26&amp;"!B"&amp;(ROW()-C$32+C$31))="",$C$1="M2"),"",1+ROW(B391)-C$32)</f>
        <v/>
      </c>
      <c r="C391" t="str" cm="1">
        <f t="array" aca="1" ref="C391" ca="1">IF(ROW()&gt;(C$33+C$32-C$31),"",GammaSelfNext(C$29,INDIRECT(C$26&amp;"!A"&amp;ROW()-C$32+C$31&amp;":F"&amp;ROW()-C$32+C$31),C390))</f>
        <v/>
      </c>
      <c r="D391" t="e">
        <f t="shared" ca="1" si="14"/>
        <v>#N/A</v>
      </c>
      <c r="E391" t="e">
        <f t="shared" ca="1" si="15"/>
        <v>#N/A</v>
      </c>
    </row>
    <row r="392" spans="1:5" x14ac:dyDescent="0.3">
      <c r="A392" t="str" cm="1">
        <f t="array" aca="1" ref="A392" ca="1">IF(OR(INDIRECT($C$26&amp;"!B"&amp;(ROW()-$C$32+$C$31))="",$C$1="M2"),"",1+ROW(A392)-$C$32)</f>
        <v/>
      </c>
      <c r="B392" t="str" cm="1">
        <f t="array" aca="1" ref="B392" ca="1">IF(OR(INDIRECT(C$26&amp;"!B"&amp;(ROW()-C$32+C$31))="",$C$1="M2"),"",1+ROW(B392)-C$32)</f>
        <v/>
      </c>
      <c r="C392" t="str" cm="1">
        <f t="array" aca="1" ref="C392" ca="1">IF(ROW()&gt;(C$33+C$32-C$31),"",GammaSelfNext(C$29,INDIRECT(C$26&amp;"!A"&amp;ROW()-C$32+C$31&amp;":F"&amp;ROW()-C$32+C$31),C391))</f>
        <v/>
      </c>
      <c r="D392" t="e">
        <f t="shared" ca="1" si="14"/>
        <v>#N/A</v>
      </c>
      <c r="E392" t="e">
        <f t="shared" ca="1" si="15"/>
        <v>#N/A</v>
      </c>
    </row>
    <row r="393" spans="1:5" x14ac:dyDescent="0.3">
      <c r="A393" t="str" cm="1">
        <f t="array" aca="1" ref="A393" ca="1">IF(OR(INDIRECT($C$26&amp;"!B"&amp;(ROW()-$C$32+$C$31))="",$C$1="M2"),"",1+ROW(A393)-$C$32)</f>
        <v/>
      </c>
      <c r="B393" t="str" cm="1">
        <f t="array" aca="1" ref="B393" ca="1">IF(OR(INDIRECT(C$26&amp;"!B"&amp;(ROW()-C$32+C$31))="",$C$1="M2"),"",1+ROW(B393)-C$32)</f>
        <v/>
      </c>
      <c r="C393" t="str" cm="1">
        <f t="array" aca="1" ref="C393" ca="1">IF(ROW()&gt;(C$33+C$32-C$31),"",GammaSelfNext(C$29,INDIRECT(C$26&amp;"!A"&amp;ROW()-C$32+C$31&amp;":F"&amp;ROW()-C$32+C$31),C392))</f>
        <v/>
      </c>
      <c r="D393" t="e">
        <f t="shared" ca="1" si="14"/>
        <v>#N/A</v>
      </c>
      <c r="E393" t="e">
        <f t="shared" ca="1" si="15"/>
        <v>#N/A</v>
      </c>
    </row>
    <row r="394" spans="1:5" x14ac:dyDescent="0.3">
      <c r="A394" t="str" cm="1">
        <f t="array" aca="1" ref="A394" ca="1">IF(OR(INDIRECT($C$26&amp;"!B"&amp;(ROW()-$C$32+$C$31))="",$C$1="M2"),"",1+ROW(A394)-$C$32)</f>
        <v/>
      </c>
      <c r="B394" t="str" cm="1">
        <f t="array" aca="1" ref="B394" ca="1">IF(OR(INDIRECT(C$26&amp;"!B"&amp;(ROW()-C$32+C$31))="",$C$1="M2"),"",1+ROW(B394)-C$32)</f>
        <v/>
      </c>
      <c r="C394" t="str" cm="1">
        <f t="array" aca="1" ref="C394" ca="1">IF(ROW()&gt;(C$33+C$32-C$31),"",GammaSelfNext(C$29,INDIRECT(C$26&amp;"!A"&amp;ROW()-C$32+C$31&amp;":F"&amp;ROW()-C$32+C$31),C393))</f>
        <v/>
      </c>
      <c r="D394" t="e">
        <f t="shared" ca="1" si="14"/>
        <v>#N/A</v>
      </c>
      <c r="E394" t="e">
        <f t="shared" ca="1" si="15"/>
        <v>#N/A</v>
      </c>
    </row>
    <row r="395" spans="1:5" x14ac:dyDescent="0.3">
      <c r="A395" t="str" cm="1">
        <f t="array" aca="1" ref="A395" ca="1">IF(OR(INDIRECT($C$26&amp;"!B"&amp;(ROW()-$C$32+$C$31))="",$C$1="M2"),"",1+ROW(A395)-$C$32)</f>
        <v/>
      </c>
      <c r="B395" t="str" cm="1">
        <f t="array" aca="1" ref="B395" ca="1">IF(OR(INDIRECT(C$26&amp;"!B"&amp;(ROW()-C$32+C$31))="",$C$1="M2"),"",1+ROW(B395)-C$32)</f>
        <v/>
      </c>
      <c r="C395" t="str" cm="1">
        <f t="array" aca="1" ref="C395" ca="1">IF(ROW()&gt;(C$33+C$32-C$31),"",GammaSelfNext(C$29,INDIRECT(C$26&amp;"!A"&amp;ROW()-C$32+C$31&amp;":F"&amp;ROW()-C$32+C$31),C394))</f>
        <v/>
      </c>
      <c r="D395" t="e">
        <f t="shared" ca="1" si="14"/>
        <v>#N/A</v>
      </c>
      <c r="E395" t="e">
        <f t="shared" ca="1" si="15"/>
        <v>#N/A</v>
      </c>
    </row>
    <row r="396" spans="1:5" x14ac:dyDescent="0.3">
      <c r="A396" t="str" cm="1">
        <f t="array" aca="1" ref="A396" ca="1">IF(OR(INDIRECT($C$26&amp;"!B"&amp;(ROW()-$C$32+$C$31))="",$C$1="M2"),"",1+ROW(A396)-$C$32)</f>
        <v/>
      </c>
      <c r="B396" t="str" cm="1">
        <f t="array" aca="1" ref="B396" ca="1">IF(OR(INDIRECT(C$26&amp;"!B"&amp;(ROW()-C$32+C$31))="",$C$1="M2"),"",1+ROW(B396)-C$32)</f>
        <v/>
      </c>
      <c r="C396" t="str" cm="1">
        <f t="array" aca="1" ref="C396" ca="1">IF(ROW()&gt;(C$33+C$32-C$31),"",GammaSelfNext(C$29,INDIRECT(C$26&amp;"!A"&amp;ROW()-C$32+C$31&amp;":F"&amp;ROW()-C$32+C$31),C395))</f>
        <v/>
      </c>
      <c r="D396" t="e">
        <f t="shared" ca="1" si="14"/>
        <v>#N/A</v>
      </c>
      <c r="E396" t="e">
        <f t="shared" ca="1" si="15"/>
        <v>#N/A</v>
      </c>
    </row>
    <row r="397" spans="1:5" x14ac:dyDescent="0.3">
      <c r="A397" t="str" cm="1">
        <f t="array" aca="1" ref="A397" ca="1">IF(OR(INDIRECT($C$26&amp;"!B"&amp;(ROW()-$C$32+$C$31))="",$C$1="M2"),"",1+ROW(A397)-$C$32)</f>
        <v/>
      </c>
      <c r="B397" t="str" cm="1">
        <f t="array" aca="1" ref="B397" ca="1">IF(OR(INDIRECT(C$26&amp;"!B"&amp;(ROW()-C$32+C$31))="",$C$1="M2"),"",1+ROW(B397)-C$32)</f>
        <v/>
      </c>
      <c r="C397" t="str" cm="1">
        <f t="array" aca="1" ref="C397" ca="1">IF(ROW()&gt;(C$33+C$32-C$31),"",GammaSelfNext(C$29,INDIRECT(C$26&amp;"!A"&amp;ROW()-C$32+C$31&amp;":F"&amp;ROW()-C$32+C$31),C396))</f>
        <v/>
      </c>
      <c r="D397" t="e">
        <f t="shared" ca="1" si="14"/>
        <v>#N/A</v>
      </c>
      <c r="E397" t="e">
        <f t="shared" ca="1" si="15"/>
        <v>#N/A</v>
      </c>
    </row>
    <row r="398" spans="1:5" x14ac:dyDescent="0.3">
      <c r="A398" t="str" cm="1">
        <f t="array" aca="1" ref="A398" ca="1">IF(OR(INDIRECT($C$26&amp;"!B"&amp;(ROW()-$C$32+$C$31))="",$C$1="M2"),"",1+ROW(A398)-$C$32)</f>
        <v/>
      </c>
      <c r="B398" t="str" cm="1">
        <f t="array" aca="1" ref="B398" ca="1">IF(OR(INDIRECT(C$26&amp;"!B"&amp;(ROW()-C$32+C$31))="",$C$1="M2"),"",1+ROW(B398)-C$32)</f>
        <v/>
      </c>
      <c r="C398" t="str" cm="1">
        <f t="array" aca="1" ref="C398" ca="1">IF(ROW()&gt;(C$33+C$32-C$31),"",GammaSelfNext(C$29,INDIRECT(C$26&amp;"!A"&amp;ROW()-C$32+C$31&amp;":F"&amp;ROW()-C$32+C$31),C397))</f>
        <v/>
      </c>
      <c r="D398" t="e">
        <f t="shared" ca="1" si="14"/>
        <v>#N/A</v>
      </c>
      <c r="E398" t="e">
        <f t="shared" ca="1" si="15"/>
        <v>#N/A</v>
      </c>
    </row>
    <row r="399" spans="1:5" x14ac:dyDescent="0.3">
      <c r="A399" t="str" cm="1">
        <f t="array" aca="1" ref="A399" ca="1">IF(OR(INDIRECT($C$26&amp;"!B"&amp;(ROW()-$C$32+$C$31))="",$C$1="M2"),"",1+ROW(A399)-$C$32)</f>
        <v/>
      </c>
      <c r="B399" t="str" cm="1">
        <f t="array" aca="1" ref="B399" ca="1">IF(OR(INDIRECT(C$26&amp;"!B"&amp;(ROW()-C$32+C$31))="",$C$1="M2"),"",1+ROW(B399)-C$32)</f>
        <v/>
      </c>
      <c r="C399" t="str" cm="1">
        <f t="array" aca="1" ref="C399" ca="1">IF(ROW()&gt;(C$33+C$32-C$31),"",GammaSelfNext(C$29,INDIRECT(C$26&amp;"!A"&amp;ROW()-C$32+C$31&amp;":F"&amp;ROW()-C$32+C$31),C398))</f>
        <v/>
      </c>
      <c r="D399" t="e">
        <f t="shared" ca="1" si="14"/>
        <v>#N/A</v>
      </c>
      <c r="E399" t="e">
        <f t="shared" ca="1" si="15"/>
        <v>#N/A</v>
      </c>
    </row>
    <row r="400" spans="1:5" x14ac:dyDescent="0.3">
      <c r="A400" t="str" cm="1">
        <f t="array" aca="1" ref="A400" ca="1">IF(OR(INDIRECT($C$26&amp;"!B"&amp;(ROW()-$C$32+$C$31))="",$C$1="M2"),"",1+ROW(A400)-$C$32)</f>
        <v/>
      </c>
      <c r="B400" t="str" cm="1">
        <f t="array" aca="1" ref="B400" ca="1">IF(OR(INDIRECT(C$26&amp;"!B"&amp;(ROW()-C$32+C$31))="",$C$1="M2"),"",1+ROW(B400)-C$32)</f>
        <v/>
      </c>
      <c r="C400" t="str" cm="1">
        <f t="array" aca="1" ref="C400" ca="1">IF(ROW()&gt;(C$33+C$32-C$31),"",GammaSelfNext(C$29,INDIRECT(C$26&amp;"!A"&amp;ROW()-C$32+C$31&amp;":F"&amp;ROW()-C$32+C$31),C399))</f>
        <v/>
      </c>
      <c r="D400" t="e">
        <f t="shared" ca="1" si="14"/>
        <v>#N/A</v>
      </c>
      <c r="E400" t="e">
        <f t="shared" ca="1" si="15"/>
        <v>#N/A</v>
      </c>
    </row>
    <row r="401" spans="1:5" x14ac:dyDescent="0.3">
      <c r="A401" t="str" cm="1">
        <f t="array" aca="1" ref="A401" ca="1">IF(OR(INDIRECT($C$26&amp;"!B"&amp;(ROW()-$C$32+$C$31))="",$C$1="M2"),"",1+ROW(A401)-$C$32)</f>
        <v/>
      </c>
      <c r="B401" t="str" cm="1">
        <f t="array" aca="1" ref="B401" ca="1">IF(OR(INDIRECT(C$26&amp;"!B"&amp;(ROW()-C$32+C$31))="",$C$1="M2"),"",1+ROW(B401)-C$32)</f>
        <v/>
      </c>
      <c r="C401" t="str" cm="1">
        <f t="array" aca="1" ref="C401" ca="1">IF(ROW()&gt;(C$33+C$32-C$31),"",GammaSelfNext(C$29,INDIRECT(C$26&amp;"!A"&amp;ROW()-C$32+C$31&amp;":F"&amp;ROW()-C$32+C$31),C400))</f>
        <v/>
      </c>
      <c r="D401" t="e">
        <f t="shared" ca="1" si="14"/>
        <v>#N/A</v>
      </c>
      <c r="E401" t="e">
        <f t="shared" ca="1" si="15"/>
        <v>#N/A</v>
      </c>
    </row>
    <row r="402" spans="1:5" x14ac:dyDescent="0.3">
      <c r="A402" t="str" cm="1">
        <f t="array" aca="1" ref="A402" ca="1">IF(OR(INDIRECT($C$26&amp;"!B"&amp;(ROW()-$C$32+$C$31))="",$C$1="M2"),"",1+ROW(A402)-$C$32)</f>
        <v/>
      </c>
      <c r="B402" t="str" cm="1">
        <f t="array" aca="1" ref="B402" ca="1">IF(OR(INDIRECT(C$26&amp;"!B"&amp;(ROW()-C$32+C$31))="",$C$1="M2"),"",1+ROW(B402)-C$32)</f>
        <v/>
      </c>
      <c r="C402" t="str" cm="1">
        <f t="array" aca="1" ref="C402" ca="1">IF(ROW()&gt;(C$33+C$32-C$31),"",GammaSelfNext(C$29,INDIRECT(C$26&amp;"!A"&amp;ROW()-C$32+C$31&amp;":F"&amp;ROW()-C$32+C$31),C401))</f>
        <v/>
      </c>
      <c r="D402" t="e">
        <f t="shared" ca="1" si="14"/>
        <v>#N/A</v>
      </c>
      <c r="E402" t="e">
        <f t="shared" ca="1" si="15"/>
        <v>#N/A</v>
      </c>
    </row>
    <row r="403" spans="1:5" x14ac:dyDescent="0.3">
      <c r="A403" t="str" cm="1">
        <f t="array" aca="1" ref="A403" ca="1">IF(OR(INDIRECT($C$26&amp;"!B"&amp;(ROW()-$C$32+$C$31))="",$C$1="M2"),"",1+ROW(A403)-$C$32)</f>
        <v/>
      </c>
      <c r="B403" t="str" cm="1">
        <f t="array" aca="1" ref="B403" ca="1">IF(OR(INDIRECT(C$26&amp;"!B"&amp;(ROW()-C$32+C$31))="",$C$1="M2"),"",1+ROW(B403)-C$32)</f>
        <v/>
      </c>
      <c r="C403" t="str" cm="1">
        <f t="array" aca="1" ref="C403" ca="1">IF(ROW()&gt;(C$33+C$32-C$31),"",GammaSelfNext(C$29,INDIRECT(C$26&amp;"!A"&amp;ROW()-C$32+C$31&amp;":F"&amp;ROW()-C$32+C$31),C402))</f>
        <v/>
      </c>
      <c r="D403" t="e">
        <f t="shared" ca="1" si="14"/>
        <v>#N/A</v>
      </c>
      <c r="E403" t="e">
        <f t="shared" ca="1" si="15"/>
        <v>#N/A</v>
      </c>
    </row>
    <row r="404" spans="1:5" x14ac:dyDescent="0.3">
      <c r="A404" t="str" cm="1">
        <f t="array" aca="1" ref="A404" ca="1">IF(OR(INDIRECT($C$26&amp;"!B"&amp;(ROW()-$C$32+$C$31))="",$C$1="M2"),"",1+ROW(A404)-$C$32)</f>
        <v/>
      </c>
      <c r="B404" t="str" cm="1">
        <f t="array" aca="1" ref="B404" ca="1">IF(OR(INDIRECT(C$26&amp;"!B"&amp;(ROW()-C$32+C$31))="",$C$1="M2"),"",1+ROW(B404)-C$32)</f>
        <v/>
      </c>
      <c r="C404" t="str" cm="1">
        <f t="array" aca="1" ref="C404" ca="1">IF(ROW()&gt;(C$33+C$32-C$31),"",GammaSelfNext(C$29,INDIRECT(C$26&amp;"!A"&amp;ROW()-C$32+C$31&amp;":F"&amp;ROW()-C$32+C$31),C403))</f>
        <v/>
      </c>
      <c r="D404" t="e">
        <f t="shared" ca="1" si="14"/>
        <v>#N/A</v>
      </c>
      <c r="E404" t="e">
        <f t="shared" ca="1" si="15"/>
        <v>#N/A</v>
      </c>
    </row>
    <row r="405" spans="1:5" x14ac:dyDescent="0.3">
      <c r="A405" t="str" cm="1">
        <f t="array" aca="1" ref="A405" ca="1">IF(OR(INDIRECT($C$26&amp;"!B"&amp;(ROW()-$C$32+$C$31))="",$C$1="M2"),"",1+ROW(A405)-$C$32)</f>
        <v/>
      </c>
      <c r="B405" t="str" cm="1">
        <f t="array" aca="1" ref="B405" ca="1">IF(OR(INDIRECT(C$26&amp;"!B"&amp;(ROW()-C$32+C$31))="",$C$1="M2"),"",1+ROW(B405)-C$32)</f>
        <v/>
      </c>
      <c r="C405" t="str" cm="1">
        <f t="array" aca="1" ref="C405" ca="1">IF(ROW()&gt;(C$33+C$32-C$31),"",GammaSelfNext(C$29,INDIRECT(C$26&amp;"!A"&amp;ROW()-C$32+C$31&amp;":F"&amp;ROW()-C$32+C$31),C404))</f>
        <v/>
      </c>
      <c r="D405" t="e">
        <f t="shared" ca="1" si="14"/>
        <v>#N/A</v>
      </c>
      <c r="E405" t="e">
        <f t="shared" ca="1" si="15"/>
        <v>#N/A</v>
      </c>
    </row>
    <row r="406" spans="1:5" x14ac:dyDescent="0.3">
      <c r="A406" t="str" cm="1">
        <f t="array" aca="1" ref="A406" ca="1">IF(OR(INDIRECT($C$26&amp;"!B"&amp;(ROW()-$C$32+$C$31))="",$C$1="M2"),"",1+ROW(A406)-$C$32)</f>
        <v/>
      </c>
      <c r="B406" t="str" cm="1">
        <f t="array" aca="1" ref="B406" ca="1">IF(OR(INDIRECT(C$26&amp;"!B"&amp;(ROW()-C$32+C$31))="",$C$1="M2"),"",1+ROW(B406)-C$32)</f>
        <v/>
      </c>
      <c r="C406" t="str" cm="1">
        <f t="array" aca="1" ref="C406" ca="1">IF(ROW()&gt;(C$33+C$32-C$31),"",GammaSelfNext(C$29,INDIRECT(C$26&amp;"!A"&amp;ROW()-C$32+C$31&amp;":F"&amp;ROW()-C$32+C$31),C405))</f>
        <v/>
      </c>
      <c r="D406" t="e">
        <f t="shared" ca="1" si="14"/>
        <v>#N/A</v>
      </c>
      <c r="E406" t="e">
        <f t="shared" ca="1" si="15"/>
        <v>#N/A</v>
      </c>
    </row>
    <row r="407" spans="1:5" x14ac:dyDescent="0.3">
      <c r="A407" t="str" cm="1">
        <f t="array" aca="1" ref="A407" ca="1">IF(OR(INDIRECT($C$26&amp;"!B"&amp;(ROW()-$C$32+$C$31))="",$C$1="M2"),"",1+ROW(A407)-$C$32)</f>
        <v/>
      </c>
      <c r="B407" t="str" cm="1">
        <f t="array" aca="1" ref="B407" ca="1">IF(OR(INDIRECT(C$26&amp;"!B"&amp;(ROW()-C$32+C$31))="",$C$1="M2"),"",1+ROW(B407)-C$32)</f>
        <v/>
      </c>
      <c r="C407" t="str" cm="1">
        <f t="array" aca="1" ref="C407" ca="1">IF(ROW()&gt;(C$33+C$32-C$31),"",GammaSelfNext(C$29,INDIRECT(C$26&amp;"!A"&amp;ROW()-C$32+C$31&amp;":F"&amp;ROW()-C$32+C$31),C406))</f>
        <v/>
      </c>
      <c r="D407" t="e">
        <f t="shared" ca="1" si="14"/>
        <v>#N/A</v>
      </c>
      <c r="E407" t="e">
        <f t="shared" ca="1" si="15"/>
        <v>#N/A</v>
      </c>
    </row>
    <row r="408" spans="1:5" x14ac:dyDescent="0.3">
      <c r="A408" t="str" cm="1">
        <f t="array" aca="1" ref="A408" ca="1">IF(OR(INDIRECT($C$26&amp;"!B"&amp;(ROW()-$C$32+$C$31))="",$C$1="M2"),"",1+ROW(A408)-$C$32)</f>
        <v/>
      </c>
      <c r="B408" t="str" cm="1">
        <f t="array" aca="1" ref="B408" ca="1">IF(OR(INDIRECT(C$26&amp;"!B"&amp;(ROW()-C$32+C$31))="",$C$1="M2"),"",1+ROW(B408)-C$32)</f>
        <v/>
      </c>
      <c r="C408" t="str" cm="1">
        <f t="array" aca="1" ref="C408" ca="1">IF(ROW()&gt;(C$33+C$32-C$31),"",GammaSelfNext(C$29,INDIRECT(C$26&amp;"!A"&amp;ROW()-C$32+C$31&amp;":F"&amp;ROW()-C$32+C$31),C407))</f>
        <v/>
      </c>
      <c r="D408" t="e">
        <f t="shared" ca="1" si="14"/>
        <v>#N/A</v>
      </c>
      <c r="E408" t="e">
        <f t="shared" ca="1" si="15"/>
        <v>#N/A</v>
      </c>
    </row>
    <row r="409" spans="1:5" x14ac:dyDescent="0.3">
      <c r="A409" t="str" cm="1">
        <f t="array" aca="1" ref="A409" ca="1">IF(OR(INDIRECT($C$26&amp;"!B"&amp;(ROW()-$C$32+$C$31))="",$C$1="M2"),"",1+ROW(A409)-$C$32)</f>
        <v/>
      </c>
      <c r="B409" t="str" cm="1">
        <f t="array" aca="1" ref="B409" ca="1">IF(OR(INDIRECT(C$26&amp;"!B"&amp;(ROW()-C$32+C$31))="",$C$1="M2"),"",1+ROW(B409)-C$32)</f>
        <v/>
      </c>
      <c r="C409" t="str" cm="1">
        <f t="array" aca="1" ref="C409" ca="1">IF(ROW()&gt;(C$33+C$32-C$31),"",GammaSelfNext(C$29,INDIRECT(C$26&amp;"!A"&amp;ROW()-C$32+C$31&amp;":F"&amp;ROW()-C$32+C$31),C408))</f>
        <v/>
      </c>
      <c r="D409" t="e">
        <f t="shared" ca="1" si="14"/>
        <v>#N/A</v>
      </c>
      <c r="E409" t="e">
        <f t="shared" ca="1" si="15"/>
        <v>#N/A</v>
      </c>
    </row>
    <row r="410" spans="1:5" x14ac:dyDescent="0.3">
      <c r="A410" t="str" cm="1">
        <f t="array" aca="1" ref="A410" ca="1">IF(OR(INDIRECT($C$26&amp;"!B"&amp;(ROW()-$C$32+$C$31))="",$C$1="M2"),"",1+ROW(A410)-$C$32)</f>
        <v/>
      </c>
      <c r="B410" t="str" cm="1">
        <f t="array" aca="1" ref="B410" ca="1">IF(OR(INDIRECT(C$26&amp;"!B"&amp;(ROW()-C$32+C$31))="",$C$1="M2"),"",1+ROW(B410)-C$32)</f>
        <v/>
      </c>
      <c r="C410" t="str" cm="1">
        <f t="array" aca="1" ref="C410" ca="1">IF(ROW()&gt;(C$33+C$32-C$31),"",GammaSelfNext(C$29,INDIRECT(C$26&amp;"!A"&amp;ROW()-C$32+C$31&amp;":F"&amp;ROW()-C$32+C$31),C409))</f>
        <v/>
      </c>
      <c r="D410" t="e">
        <f t="shared" ca="1" si="14"/>
        <v>#N/A</v>
      </c>
      <c r="E410" t="e">
        <f t="shared" ca="1" si="15"/>
        <v>#N/A</v>
      </c>
    </row>
    <row r="411" spans="1:5" x14ac:dyDescent="0.3">
      <c r="A411" t="str" cm="1">
        <f t="array" aca="1" ref="A411" ca="1">IF(OR(INDIRECT($C$26&amp;"!B"&amp;(ROW()-$C$32+$C$31))="",$C$1="M2"),"",1+ROW(A411)-$C$32)</f>
        <v/>
      </c>
      <c r="B411" t="str" cm="1">
        <f t="array" aca="1" ref="B411" ca="1">IF(OR(INDIRECT(C$26&amp;"!B"&amp;(ROW()-C$32+C$31))="",$C$1="M2"),"",1+ROW(B411)-C$32)</f>
        <v/>
      </c>
      <c r="C411" t="str" cm="1">
        <f t="array" aca="1" ref="C411" ca="1">IF(ROW()&gt;(C$33+C$32-C$31),"",GammaSelfNext(C$29,INDIRECT(C$26&amp;"!A"&amp;ROW()-C$32+C$31&amp;":F"&amp;ROW()-C$32+C$31),C410))</f>
        <v/>
      </c>
      <c r="D411" t="e">
        <f t="shared" ca="1" si="14"/>
        <v>#N/A</v>
      </c>
      <c r="E411" t="e">
        <f t="shared" ca="1" si="15"/>
        <v>#N/A</v>
      </c>
    </row>
    <row r="412" spans="1:5" x14ac:dyDescent="0.3">
      <c r="A412" t="str" cm="1">
        <f t="array" aca="1" ref="A412" ca="1">IF(OR(INDIRECT($C$26&amp;"!B"&amp;(ROW()-$C$32+$C$31))="",$C$1="M2"),"",1+ROW(A412)-$C$32)</f>
        <v/>
      </c>
      <c r="B412" t="str" cm="1">
        <f t="array" aca="1" ref="B412" ca="1">IF(OR(INDIRECT(C$26&amp;"!B"&amp;(ROW()-C$32+C$31))="",$C$1="M2"),"",1+ROW(B412)-C$32)</f>
        <v/>
      </c>
      <c r="C412" t="str" cm="1">
        <f t="array" aca="1" ref="C412" ca="1">IF(ROW()&gt;(C$33+C$32-C$31),"",GammaSelfNext(C$29,INDIRECT(C$26&amp;"!A"&amp;ROW()-C$32+C$31&amp;":F"&amp;ROW()-C$32+C$31),C411))</f>
        <v/>
      </c>
      <c r="D412" t="e">
        <f t="shared" ca="1" si="14"/>
        <v>#N/A</v>
      </c>
      <c r="E412" t="e">
        <f t="shared" ca="1" si="15"/>
        <v>#N/A</v>
      </c>
    </row>
    <row r="413" spans="1:5" x14ac:dyDescent="0.3">
      <c r="A413" t="str" cm="1">
        <f t="array" aca="1" ref="A413" ca="1">IF(OR(INDIRECT($C$26&amp;"!B"&amp;(ROW()-$C$32+$C$31))="",$C$1="M2"),"",1+ROW(A413)-$C$32)</f>
        <v/>
      </c>
      <c r="B413" t="str" cm="1">
        <f t="array" aca="1" ref="B413" ca="1">IF(OR(INDIRECT(C$26&amp;"!B"&amp;(ROW()-C$32+C$31))="",$C$1="M2"),"",1+ROW(B413)-C$32)</f>
        <v/>
      </c>
      <c r="C413" t="str" cm="1">
        <f t="array" aca="1" ref="C413" ca="1">IF(ROW()&gt;(C$33+C$32-C$31),"",GammaSelfNext(C$29,INDIRECT(C$26&amp;"!A"&amp;ROW()-C$32+C$31&amp;":F"&amp;ROW()-C$32+C$31),C412))</f>
        <v/>
      </c>
      <c r="D413" t="e">
        <f t="shared" ca="1" si="14"/>
        <v>#N/A</v>
      </c>
      <c r="E413" t="e">
        <f t="shared" ca="1" si="15"/>
        <v>#N/A</v>
      </c>
    </row>
    <row r="414" spans="1:5" x14ac:dyDescent="0.3">
      <c r="A414" t="str" cm="1">
        <f t="array" aca="1" ref="A414" ca="1">IF(OR(INDIRECT($C$26&amp;"!B"&amp;(ROW()-$C$32+$C$31))="",$C$1="M2"),"",1+ROW(A414)-$C$32)</f>
        <v/>
      </c>
      <c r="B414" t="str" cm="1">
        <f t="array" aca="1" ref="B414" ca="1">IF(OR(INDIRECT(C$26&amp;"!B"&amp;(ROW()-C$32+C$31))="",$C$1="M2"),"",1+ROW(B414)-C$32)</f>
        <v/>
      </c>
      <c r="C414" t="str" cm="1">
        <f t="array" aca="1" ref="C414" ca="1">IF(ROW()&gt;(C$33+C$32-C$31),"",GammaSelfNext(C$29,INDIRECT(C$26&amp;"!A"&amp;ROW()-C$32+C$31&amp;":F"&amp;ROW()-C$32+C$31),C413))</f>
        <v/>
      </c>
      <c r="D414" t="e">
        <f t="shared" ca="1" si="14"/>
        <v>#N/A</v>
      </c>
      <c r="E414" t="e">
        <f t="shared" ca="1" si="15"/>
        <v>#N/A</v>
      </c>
    </row>
    <row r="415" spans="1:5" x14ac:dyDescent="0.3">
      <c r="A415" t="str" cm="1">
        <f t="array" aca="1" ref="A415" ca="1">IF(OR(INDIRECT($C$26&amp;"!B"&amp;(ROW()-$C$32+$C$31))="",$C$1="M2"),"",1+ROW(A415)-$C$32)</f>
        <v/>
      </c>
      <c r="B415" t="str" cm="1">
        <f t="array" aca="1" ref="B415" ca="1">IF(OR(INDIRECT(C$26&amp;"!B"&amp;(ROW()-C$32+C$31))="",$C$1="M2"),"",1+ROW(B415)-C$32)</f>
        <v/>
      </c>
      <c r="C415" t="str" cm="1">
        <f t="array" aca="1" ref="C415" ca="1">IF(ROW()&gt;(C$33+C$32-C$31),"",GammaSelfNext(C$29,INDIRECT(C$26&amp;"!A"&amp;ROW()-C$32+C$31&amp;":F"&amp;ROW()-C$32+C$31),C414))</f>
        <v/>
      </c>
      <c r="D415" t="e">
        <f t="shared" ca="1" si="14"/>
        <v>#N/A</v>
      </c>
      <c r="E415" t="e">
        <f t="shared" ca="1" si="15"/>
        <v>#N/A</v>
      </c>
    </row>
    <row r="416" spans="1:5" x14ac:dyDescent="0.3">
      <c r="A416" t="str" cm="1">
        <f t="array" aca="1" ref="A416" ca="1">IF(OR(INDIRECT($C$26&amp;"!B"&amp;(ROW()-$C$32+$C$31))="",$C$1="M2"),"",1+ROW(A416)-$C$32)</f>
        <v/>
      </c>
      <c r="B416" t="str" cm="1">
        <f t="array" aca="1" ref="B416" ca="1">IF(OR(INDIRECT(C$26&amp;"!B"&amp;(ROW()-C$32+C$31))="",$C$1="M2"),"",1+ROW(B416)-C$32)</f>
        <v/>
      </c>
      <c r="C416" t="str" cm="1">
        <f t="array" aca="1" ref="C416" ca="1">IF(ROW()&gt;(C$33+C$32-C$31),"",GammaSelfNext(C$29,INDIRECT(C$26&amp;"!A"&amp;ROW()-C$32+C$31&amp;":F"&amp;ROW()-C$32+C$31),C415))</f>
        <v/>
      </c>
      <c r="D416" t="e">
        <f t="shared" ca="1" si="14"/>
        <v>#N/A</v>
      </c>
      <c r="E416" t="e">
        <f t="shared" ca="1" si="15"/>
        <v>#N/A</v>
      </c>
    </row>
    <row r="417" spans="1:5" x14ac:dyDescent="0.3">
      <c r="A417" t="str" cm="1">
        <f t="array" aca="1" ref="A417" ca="1">IF(OR(INDIRECT($C$26&amp;"!B"&amp;(ROW()-$C$32+$C$31))="",$C$1="M2"),"",1+ROW(A417)-$C$32)</f>
        <v/>
      </c>
      <c r="B417" t="str" cm="1">
        <f t="array" aca="1" ref="B417" ca="1">IF(OR(INDIRECT(C$26&amp;"!B"&amp;(ROW()-C$32+C$31))="",$C$1="M2"),"",1+ROW(B417)-C$32)</f>
        <v/>
      </c>
      <c r="C417" t="str" cm="1">
        <f t="array" aca="1" ref="C417" ca="1">IF(ROW()&gt;(C$33+C$32-C$31),"",GammaSelfNext(C$29,INDIRECT(C$26&amp;"!A"&amp;ROW()-C$32+C$31&amp;":F"&amp;ROW()-C$32+C$31),C416))</f>
        <v/>
      </c>
      <c r="D417" t="e">
        <f t="shared" ca="1" si="14"/>
        <v>#N/A</v>
      </c>
      <c r="E417" t="e">
        <f t="shared" ca="1" si="15"/>
        <v>#N/A</v>
      </c>
    </row>
    <row r="418" spans="1:5" x14ac:dyDescent="0.3">
      <c r="A418" t="str" cm="1">
        <f t="array" aca="1" ref="A418" ca="1">IF(OR(INDIRECT($C$26&amp;"!B"&amp;(ROW()-$C$32+$C$31))="",$C$1="M2"),"",1+ROW(A418)-$C$32)</f>
        <v/>
      </c>
      <c r="B418" t="str" cm="1">
        <f t="array" aca="1" ref="B418" ca="1">IF(OR(INDIRECT(C$26&amp;"!B"&amp;(ROW()-C$32+C$31))="",$C$1="M2"),"",1+ROW(B418)-C$32)</f>
        <v/>
      </c>
      <c r="C418" t="str" cm="1">
        <f t="array" aca="1" ref="C418" ca="1">IF(ROW()&gt;(C$33+C$32-C$31),"",GammaSelfNext(C$29,INDIRECT(C$26&amp;"!A"&amp;ROW()-C$32+C$31&amp;":F"&amp;ROW()-C$32+C$31),C417))</f>
        <v/>
      </c>
      <c r="D418" t="e">
        <f t="shared" ca="1" si="14"/>
        <v>#N/A</v>
      </c>
      <c r="E418" t="e">
        <f t="shared" ca="1" si="15"/>
        <v>#N/A</v>
      </c>
    </row>
    <row r="419" spans="1:5" x14ac:dyDescent="0.3">
      <c r="A419" t="str" cm="1">
        <f t="array" aca="1" ref="A419" ca="1">IF(OR(INDIRECT($C$26&amp;"!B"&amp;(ROW()-$C$32+$C$31))="",$C$1="M2"),"",1+ROW(A419)-$C$32)</f>
        <v/>
      </c>
      <c r="B419" t="str" cm="1">
        <f t="array" aca="1" ref="B419" ca="1">IF(OR(INDIRECT(C$26&amp;"!B"&amp;(ROW()-C$32+C$31))="",$C$1="M2"),"",1+ROW(B419)-C$32)</f>
        <v/>
      </c>
      <c r="C419" t="str" cm="1">
        <f t="array" aca="1" ref="C419" ca="1">IF(ROW()&gt;(C$33+C$32-C$31),"",GammaSelfNext(C$29,INDIRECT(C$26&amp;"!A"&amp;ROW()-C$32+C$31&amp;":F"&amp;ROW()-C$32+C$31),C418))</f>
        <v/>
      </c>
      <c r="D419" t="e">
        <f t="shared" ca="1" si="14"/>
        <v>#N/A</v>
      </c>
      <c r="E419" t="e">
        <f t="shared" ca="1" si="15"/>
        <v>#N/A</v>
      </c>
    </row>
    <row r="420" spans="1:5" x14ac:dyDescent="0.3">
      <c r="A420" t="str" cm="1">
        <f t="array" aca="1" ref="A420" ca="1">IF(OR(INDIRECT($C$26&amp;"!B"&amp;(ROW()-$C$32+$C$31))="",$C$1="M2"),"",1+ROW(A420)-$C$32)</f>
        <v/>
      </c>
      <c r="B420" t="str" cm="1">
        <f t="array" aca="1" ref="B420" ca="1">IF(OR(INDIRECT(C$26&amp;"!B"&amp;(ROW()-C$32+C$31))="",$C$1="M2"),"",1+ROW(B420)-C$32)</f>
        <v/>
      </c>
      <c r="C420" t="str" cm="1">
        <f t="array" aca="1" ref="C420" ca="1">IF(ROW()&gt;(C$33+C$32-C$31),"",GammaSelfNext(C$29,INDIRECT(C$26&amp;"!A"&amp;ROW()-C$32+C$31&amp;":F"&amp;ROW()-C$32+C$31),C419))</f>
        <v/>
      </c>
      <c r="D420" t="e">
        <f t="shared" ca="1" si="14"/>
        <v>#N/A</v>
      </c>
      <c r="E420" t="e">
        <f t="shared" ca="1" si="15"/>
        <v>#N/A</v>
      </c>
    </row>
    <row r="421" spans="1:5" x14ac:dyDescent="0.3">
      <c r="A421" t="str" cm="1">
        <f t="array" aca="1" ref="A421" ca="1">IF(OR(INDIRECT($C$26&amp;"!B"&amp;(ROW()-$C$32+$C$31))="",$C$1="M2"),"",1+ROW(A421)-$C$32)</f>
        <v/>
      </c>
      <c r="B421" t="str" cm="1">
        <f t="array" aca="1" ref="B421" ca="1">IF(OR(INDIRECT(C$26&amp;"!B"&amp;(ROW()-C$32+C$31))="",$C$1="M2"),"",1+ROW(B421)-C$32)</f>
        <v/>
      </c>
      <c r="C421" t="str" cm="1">
        <f t="array" aca="1" ref="C421" ca="1">IF(ROW()&gt;(C$33+C$32-C$31),"",GammaSelfNext(C$29,INDIRECT(C$26&amp;"!A"&amp;ROW()-C$32+C$31&amp;":F"&amp;ROW()-C$32+C$31),C420))</f>
        <v/>
      </c>
      <c r="D421" t="e">
        <f t="shared" ca="1" si="14"/>
        <v>#N/A</v>
      </c>
      <c r="E421" t="e">
        <f t="shared" ca="1" si="15"/>
        <v>#N/A</v>
      </c>
    </row>
    <row r="422" spans="1:5" x14ac:dyDescent="0.3">
      <c r="A422" t="str" cm="1">
        <f t="array" aca="1" ref="A422" ca="1">IF(OR(INDIRECT($C$26&amp;"!B"&amp;(ROW()-$C$32+$C$31))="",$C$1="M2"),"",1+ROW(A422)-$C$32)</f>
        <v/>
      </c>
      <c r="B422" t="str" cm="1">
        <f t="array" aca="1" ref="B422" ca="1">IF(OR(INDIRECT(C$26&amp;"!B"&amp;(ROW()-C$32+C$31))="",$C$1="M2"),"",1+ROW(B422)-C$32)</f>
        <v/>
      </c>
      <c r="C422" t="str" cm="1">
        <f t="array" aca="1" ref="C422" ca="1">IF(ROW()&gt;(C$33+C$32-C$31),"",GammaSelfNext(C$29,INDIRECT(C$26&amp;"!A"&amp;ROW()-C$32+C$31&amp;":F"&amp;ROW()-C$32+C$31),C421))</f>
        <v/>
      </c>
      <c r="D422" t="e">
        <f t="shared" ca="1" si="14"/>
        <v>#N/A</v>
      </c>
      <c r="E422" t="e">
        <f t="shared" ca="1" si="15"/>
        <v>#N/A</v>
      </c>
    </row>
    <row r="423" spans="1:5" x14ac:dyDescent="0.3">
      <c r="A423" t="str" cm="1">
        <f t="array" aca="1" ref="A423" ca="1">IF(OR(INDIRECT($C$26&amp;"!B"&amp;(ROW()-$C$32+$C$31))="",$C$1="M2"),"",1+ROW(A423)-$C$32)</f>
        <v/>
      </c>
      <c r="B423" t="str" cm="1">
        <f t="array" aca="1" ref="B423" ca="1">IF(OR(INDIRECT(C$26&amp;"!B"&amp;(ROW()-C$32+C$31))="",$C$1="M2"),"",1+ROW(B423)-C$32)</f>
        <v/>
      </c>
      <c r="C423" t="str" cm="1">
        <f t="array" aca="1" ref="C423" ca="1">IF(ROW()&gt;(C$33+C$32-C$31),"",GammaSelfNext(C$29,INDIRECT(C$26&amp;"!A"&amp;ROW()-C$32+C$31&amp;":F"&amp;ROW()-C$32+C$31),C422))</f>
        <v/>
      </c>
      <c r="D423" t="e">
        <f t="shared" ca="1" si="14"/>
        <v>#N/A</v>
      </c>
      <c r="E423" t="e">
        <f t="shared" ca="1" si="15"/>
        <v>#N/A</v>
      </c>
    </row>
    <row r="424" spans="1:5" x14ac:dyDescent="0.3">
      <c r="A424" t="str" cm="1">
        <f t="array" aca="1" ref="A424" ca="1">IF(OR(INDIRECT($C$26&amp;"!B"&amp;(ROW()-$C$32+$C$31))="",$C$1="M2"),"",1+ROW(A424)-$C$32)</f>
        <v/>
      </c>
      <c r="B424" t="str" cm="1">
        <f t="array" aca="1" ref="B424" ca="1">IF(OR(INDIRECT(C$26&amp;"!B"&amp;(ROW()-C$32+C$31))="",$C$1="M2"),"",1+ROW(B424)-C$32)</f>
        <v/>
      </c>
      <c r="C424" t="str" cm="1">
        <f t="array" aca="1" ref="C424" ca="1">IF(ROW()&gt;(C$33+C$32-C$31),"",GammaSelfNext(C$29,INDIRECT(C$26&amp;"!A"&amp;ROW()-C$32+C$31&amp;":F"&amp;ROW()-C$32+C$31),C423))</f>
        <v/>
      </c>
      <c r="D424" t="e">
        <f t="shared" ca="1" si="14"/>
        <v>#N/A</v>
      </c>
      <c r="E424" t="e">
        <f t="shared" ca="1" si="15"/>
        <v>#N/A</v>
      </c>
    </row>
    <row r="425" spans="1:5" x14ac:dyDescent="0.3">
      <c r="A425" t="str" cm="1">
        <f t="array" aca="1" ref="A425" ca="1">IF(OR(INDIRECT($C$26&amp;"!B"&amp;(ROW()-$C$32+$C$31))="",$C$1="M2"),"",1+ROW(A425)-$C$32)</f>
        <v/>
      </c>
      <c r="B425" t="str" cm="1">
        <f t="array" aca="1" ref="B425" ca="1">IF(OR(INDIRECT(C$26&amp;"!B"&amp;(ROW()-C$32+C$31))="",$C$1="M2"),"",1+ROW(B425)-C$32)</f>
        <v/>
      </c>
      <c r="C425" t="str" cm="1">
        <f t="array" aca="1" ref="C425" ca="1">IF(ROW()&gt;(C$33+C$32-C$31),"",GammaSelfNext(C$29,INDIRECT(C$26&amp;"!A"&amp;ROW()-C$32+C$31&amp;":F"&amp;ROW()-C$32+C$31),C424))</f>
        <v/>
      </c>
      <c r="D425" t="e">
        <f t="shared" ref="D425:D488" ca="1" si="16">IF(C425="",NA(),IMREAL(C425))</f>
        <v>#N/A</v>
      </c>
      <c r="E425" t="e">
        <f t="shared" ref="E425:E488" ca="1" si="17">IF(C425="",NA(),IMAGINARY(C425))</f>
        <v>#N/A</v>
      </c>
    </row>
    <row r="426" spans="1:5" x14ac:dyDescent="0.3">
      <c r="A426" t="str" cm="1">
        <f t="array" aca="1" ref="A426" ca="1">IF(OR(INDIRECT($C$26&amp;"!B"&amp;(ROW()-$C$32+$C$31))="",$C$1="M2"),"",1+ROW(A426)-$C$32)</f>
        <v/>
      </c>
      <c r="B426" t="str" cm="1">
        <f t="array" aca="1" ref="B426" ca="1">IF(OR(INDIRECT(C$26&amp;"!B"&amp;(ROW()-C$32+C$31))="",$C$1="M2"),"",1+ROW(B426)-C$32)</f>
        <v/>
      </c>
      <c r="C426" t="str" cm="1">
        <f t="array" aca="1" ref="C426" ca="1">IF(ROW()&gt;(C$33+C$32-C$31),"",GammaSelfNext(C$29,INDIRECT(C$26&amp;"!A"&amp;ROW()-C$32+C$31&amp;":F"&amp;ROW()-C$32+C$31),C425))</f>
        <v/>
      </c>
      <c r="D426" t="e">
        <f t="shared" ca="1" si="16"/>
        <v>#N/A</v>
      </c>
      <c r="E426" t="e">
        <f t="shared" ca="1" si="17"/>
        <v>#N/A</v>
      </c>
    </row>
    <row r="427" spans="1:5" x14ac:dyDescent="0.3">
      <c r="A427" t="str" cm="1">
        <f t="array" aca="1" ref="A427" ca="1">IF(OR(INDIRECT($C$26&amp;"!B"&amp;(ROW()-$C$32+$C$31))="",$C$1="M2"),"",1+ROW(A427)-$C$32)</f>
        <v/>
      </c>
      <c r="B427" t="str" cm="1">
        <f t="array" aca="1" ref="B427" ca="1">IF(OR(INDIRECT(C$26&amp;"!B"&amp;(ROW()-C$32+C$31))="",$C$1="M2"),"",1+ROW(B427)-C$32)</f>
        <v/>
      </c>
      <c r="C427" t="str" cm="1">
        <f t="array" aca="1" ref="C427" ca="1">IF(ROW()&gt;(C$33+C$32-C$31),"",GammaSelfNext(C$29,INDIRECT(C$26&amp;"!A"&amp;ROW()-C$32+C$31&amp;":F"&amp;ROW()-C$32+C$31),C426))</f>
        <v/>
      </c>
      <c r="D427" t="e">
        <f t="shared" ca="1" si="16"/>
        <v>#N/A</v>
      </c>
      <c r="E427" t="e">
        <f t="shared" ca="1" si="17"/>
        <v>#N/A</v>
      </c>
    </row>
    <row r="428" spans="1:5" x14ac:dyDescent="0.3">
      <c r="A428" t="str" cm="1">
        <f t="array" aca="1" ref="A428" ca="1">IF(OR(INDIRECT($C$26&amp;"!B"&amp;(ROW()-$C$32+$C$31))="",$C$1="M2"),"",1+ROW(A428)-$C$32)</f>
        <v/>
      </c>
      <c r="B428" t="str" cm="1">
        <f t="array" aca="1" ref="B428" ca="1">IF(OR(INDIRECT(C$26&amp;"!B"&amp;(ROW()-C$32+C$31))="",$C$1="M2"),"",1+ROW(B428)-C$32)</f>
        <v/>
      </c>
      <c r="C428" t="str" cm="1">
        <f t="array" aca="1" ref="C428" ca="1">IF(ROW()&gt;(C$33+C$32-C$31),"",GammaSelfNext(C$29,INDIRECT(C$26&amp;"!A"&amp;ROW()-C$32+C$31&amp;":F"&amp;ROW()-C$32+C$31),C427))</f>
        <v/>
      </c>
      <c r="D428" t="e">
        <f t="shared" ca="1" si="16"/>
        <v>#N/A</v>
      </c>
      <c r="E428" t="e">
        <f t="shared" ca="1" si="17"/>
        <v>#N/A</v>
      </c>
    </row>
    <row r="429" spans="1:5" x14ac:dyDescent="0.3">
      <c r="A429" t="str" cm="1">
        <f t="array" aca="1" ref="A429" ca="1">IF(OR(INDIRECT($C$26&amp;"!B"&amp;(ROW()-$C$32+$C$31))="",$C$1="M2"),"",1+ROW(A429)-$C$32)</f>
        <v/>
      </c>
      <c r="B429" t="str" cm="1">
        <f t="array" aca="1" ref="B429" ca="1">IF(OR(INDIRECT(C$26&amp;"!B"&amp;(ROW()-C$32+C$31))="",$C$1="M2"),"",1+ROW(B429)-C$32)</f>
        <v/>
      </c>
      <c r="C429" t="str" cm="1">
        <f t="array" aca="1" ref="C429" ca="1">IF(ROW()&gt;(C$33+C$32-C$31),"",GammaSelfNext(C$29,INDIRECT(C$26&amp;"!A"&amp;ROW()-C$32+C$31&amp;":F"&amp;ROW()-C$32+C$31),C428))</f>
        <v/>
      </c>
      <c r="D429" t="e">
        <f t="shared" ca="1" si="16"/>
        <v>#N/A</v>
      </c>
      <c r="E429" t="e">
        <f t="shared" ca="1" si="17"/>
        <v>#N/A</v>
      </c>
    </row>
    <row r="430" spans="1:5" x14ac:dyDescent="0.3">
      <c r="A430" t="str" cm="1">
        <f t="array" aca="1" ref="A430" ca="1">IF(OR(INDIRECT($C$26&amp;"!B"&amp;(ROW()-$C$32+$C$31))="",$C$1="M2"),"",1+ROW(A430)-$C$32)</f>
        <v/>
      </c>
      <c r="B430" t="str" cm="1">
        <f t="array" aca="1" ref="B430" ca="1">IF(OR(INDIRECT(C$26&amp;"!B"&amp;(ROW()-C$32+C$31))="",$C$1="M2"),"",1+ROW(B430)-C$32)</f>
        <v/>
      </c>
      <c r="C430" t="str" cm="1">
        <f t="array" aca="1" ref="C430" ca="1">IF(ROW()&gt;(C$33+C$32-C$31),"",GammaSelfNext(C$29,INDIRECT(C$26&amp;"!A"&amp;ROW()-C$32+C$31&amp;":F"&amp;ROW()-C$32+C$31),C429))</f>
        <v/>
      </c>
      <c r="D430" t="e">
        <f t="shared" ca="1" si="16"/>
        <v>#N/A</v>
      </c>
      <c r="E430" t="e">
        <f t="shared" ca="1" si="17"/>
        <v>#N/A</v>
      </c>
    </row>
    <row r="431" spans="1:5" x14ac:dyDescent="0.3">
      <c r="A431" t="str" cm="1">
        <f t="array" aca="1" ref="A431" ca="1">IF(OR(INDIRECT($C$26&amp;"!B"&amp;(ROW()-$C$32+$C$31))="",$C$1="M2"),"",1+ROW(A431)-$C$32)</f>
        <v/>
      </c>
      <c r="B431" t="str" cm="1">
        <f t="array" aca="1" ref="B431" ca="1">IF(OR(INDIRECT(C$26&amp;"!B"&amp;(ROW()-C$32+C$31))="",$C$1="M2"),"",1+ROW(B431)-C$32)</f>
        <v/>
      </c>
      <c r="C431" t="str" cm="1">
        <f t="array" aca="1" ref="C431" ca="1">IF(ROW()&gt;(C$33+C$32-C$31),"",GammaSelfNext(C$29,INDIRECT(C$26&amp;"!A"&amp;ROW()-C$32+C$31&amp;":F"&amp;ROW()-C$32+C$31),C430))</f>
        <v/>
      </c>
      <c r="D431" t="e">
        <f t="shared" ca="1" si="16"/>
        <v>#N/A</v>
      </c>
      <c r="E431" t="e">
        <f t="shared" ca="1" si="17"/>
        <v>#N/A</v>
      </c>
    </row>
    <row r="432" spans="1:5" x14ac:dyDescent="0.3">
      <c r="A432" t="str" cm="1">
        <f t="array" aca="1" ref="A432" ca="1">IF(OR(INDIRECT($C$26&amp;"!B"&amp;(ROW()-$C$32+$C$31))="",$C$1="M2"),"",1+ROW(A432)-$C$32)</f>
        <v/>
      </c>
      <c r="B432" t="str" cm="1">
        <f t="array" aca="1" ref="B432" ca="1">IF(OR(INDIRECT(C$26&amp;"!B"&amp;(ROW()-C$32+C$31))="",$C$1="M2"),"",1+ROW(B432)-C$32)</f>
        <v/>
      </c>
      <c r="C432" t="str" cm="1">
        <f t="array" aca="1" ref="C432" ca="1">IF(ROW()&gt;(C$33+C$32-C$31),"",GammaSelfNext(C$29,INDIRECT(C$26&amp;"!A"&amp;ROW()-C$32+C$31&amp;":F"&amp;ROW()-C$32+C$31),C431))</f>
        <v/>
      </c>
      <c r="D432" t="e">
        <f t="shared" ca="1" si="16"/>
        <v>#N/A</v>
      </c>
      <c r="E432" t="e">
        <f t="shared" ca="1" si="17"/>
        <v>#N/A</v>
      </c>
    </row>
    <row r="433" spans="1:5" x14ac:dyDescent="0.3">
      <c r="A433" t="str" cm="1">
        <f t="array" aca="1" ref="A433" ca="1">IF(OR(INDIRECT($C$26&amp;"!B"&amp;(ROW()-$C$32+$C$31))="",$C$1="M2"),"",1+ROW(A433)-$C$32)</f>
        <v/>
      </c>
      <c r="B433" t="str" cm="1">
        <f t="array" aca="1" ref="B433" ca="1">IF(OR(INDIRECT(C$26&amp;"!B"&amp;(ROW()-C$32+C$31))="",$C$1="M2"),"",1+ROW(B433)-C$32)</f>
        <v/>
      </c>
      <c r="C433" t="str" cm="1">
        <f t="array" aca="1" ref="C433" ca="1">IF(ROW()&gt;(C$33+C$32-C$31),"",GammaSelfNext(C$29,INDIRECT(C$26&amp;"!A"&amp;ROW()-C$32+C$31&amp;":F"&amp;ROW()-C$32+C$31),C432))</f>
        <v/>
      </c>
      <c r="D433" t="e">
        <f t="shared" ca="1" si="16"/>
        <v>#N/A</v>
      </c>
      <c r="E433" t="e">
        <f t="shared" ca="1" si="17"/>
        <v>#N/A</v>
      </c>
    </row>
    <row r="434" spans="1:5" x14ac:dyDescent="0.3">
      <c r="A434" t="str" cm="1">
        <f t="array" aca="1" ref="A434" ca="1">IF(OR(INDIRECT($C$26&amp;"!B"&amp;(ROW()-$C$32+$C$31))="",$C$1="M2"),"",1+ROW(A434)-$C$32)</f>
        <v/>
      </c>
      <c r="B434" t="str" cm="1">
        <f t="array" aca="1" ref="B434" ca="1">IF(OR(INDIRECT(C$26&amp;"!B"&amp;(ROW()-C$32+C$31))="",$C$1="M2"),"",1+ROW(B434)-C$32)</f>
        <v/>
      </c>
      <c r="C434" t="str" cm="1">
        <f t="array" aca="1" ref="C434" ca="1">IF(ROW()&gt;(C$33+C$32-C$31),"",GammaSelfNext(C$29,INDIRECT(C$26&amp;"!A"&amp;ROW()-C$32+C$31&amp;":F"&amp;ROW()-C$32+C$31),C433))</f>
        <v/>
      </c>
      <c r="D434" t="e">
        <f t="shared" ca="1" si="16"/>
        <v>#N/A</v>
      </c>
      <c r="E434" t="e">
        <f t="shared" ca="1" si="17"/>
        <v>#N/A</v>
      </c>
    </row>
    <row r="435" spans="1:5" x14ac:dyDescent="0.3">
      <c r="A435" t="str" cm="1">
        <f t="array" aca="1" ref="A435" ca="1">IF(OR(INDIRECT($C$26&amp;"!B"&amp;(ROW()-$C$32+$C$31))="",$C$1="M2"),"",1+ROW(A435)-$C$32)</f>
        <v/>
      </c>
      <c r="B435" t="str" cm="1">
        <f t="array" aca="1" ref="B435" ca="1">IF(OR(INDIRECT(C$26&amp;"!B"&amp;(ROW()-C$32+C$31))="",$C$1="M2"),"",1+ROW(B435)-C$32)</f>
        <v/>
      </c>
      <c r="C435" t="str" cm="1">
        <f t="array" aca="1" ref="C435" ca="1">IF(ROW()&gt;(C$33+C$32-C$31),"",GammaSelfNext(C$29,INDIRECT(C$26&amp;"!A"&amp;ROW()-C$32+C$31&amp;":F"&amp;ROW()-C$32+C$31),C434))</f>
        <v/>
      </c>
      <c r="D435" t="e">
        <f t="shared" ca="1" si="16"/>
        <v>#N/A</v>
      </c>
      <c r="E435" t="e">
        <f t="shared" ca="1" si="17"/>
        <v>#N/A</v>
      </c>
    </row>
    <row r="436" spans="1:5" x14ac:dyDescent="0.3">
      <c r="A436" t="str" cm="1">
        <f t="array" aca="1" ref="A436" ca="1">IF(OR(INDIRECT($C$26&amp;"!B"&amp;(ROW()-$C$32+$C$31))="",$C$1="M2"),"",1+ROW(A436)-$C$32)</f>
        <v/>
      </c>
      <c r="B436" t="str" cm="1">
        <f t="array" aca="1" ref="B436" ca="1">IF(OR(INDIRECT(C$26&amp;"!B"&amp;(ROW()-C$32+C$31))="",$C$1="M2"),"",1+ROW(B436)-C$32)</f>
        <v/>
      </c>
      <c r="C436" t="str" cm="1">
        <f t="array" aca="1" ref="C436" ca="1">IF(ROW()&gt;(C$33+C$32-C$31),"",GammaSelfNext(C$29,INDIRECT(C$26&amp;"!A"&amp;ROW()-C$32+C$31&amp;":F"&amp;ROW()-C$32+C$31),C435))</f>
        <v/>
      </c>
      <c r="D436" t="e">
        <f t="shared" ca="1" si="16"/>
        <v>#N/A</v>
      </c>
      <c r="E436" t="e">
        <f t="shared" ca="1" si="17"/>
        <v>#N/A</v>
      </c>
    </row>
    <row r="437" spans="1:5" x14ac:dyDescent="0.3">
      <c r="A437" t="str" cm="1">
        <f t="array" aca="1" ref="A437" ca="1">IF(OR(INDIRECT($C$26&amp;"!B"&amp;(ROW()-$C$32+$C$31))="",$C$1="M2"),"",1+ROW(A437)-$C$32)</f>
        <v/>
      </c>
      <c r="B437" t="str" cm="1">
        <f t="array" aca="1" ref="B437" ca="1">IF(OR(INDIRECT(C$26&amp;"!B"&amp;(ROW()-C$32+C$31))="",$C$1="M2"),"",1+ROW(B437)-C$32)</f>
        <v/>
      </c>
      <c r="C437" t="str" cm="1">
        <f t="array" aca="1" ref="C437" ca="1">IF(ROW()&gt;(C$33+C$32-C$31),"",GammaSelfNext(C$29,INDIRECT(C$26&amp;"!A"&amp;ROW()-C$32+C$31&amp;":F"&amp;ROW()-C$32+C$31),C436))</f>
        <v/>
      </c>
      <c r="D437" t="e">
        <f t="shared" ca="1" si="16"/>
        <v>#N/A</v>
      </c>
      <c r="E437" t="e">
        <f t="shared" ca="1" si="17"/>
        <v>#N/A</v>
      </c>
    </row>
    <row r="438" spans="1:5" x14ac:dyDescent="0.3">
      <c r="A438" t="str" cm="1">
        <f t="array" aca="1" ref="A438" ca="1">IF(OR(INDIRECT($C$26&amp;"!B"&amp;(ROW()-$C$32+$C$31))="",$C$1="M2"),"",1+ROW(A438)-$C$32)</f>
        <v/>
      </c>
      <c r="B438" t="str" cm="1">
        <f t="array" aca="1" ref="B438" ca="1">IF(OR(INDIRECT(C$26&amp;"!B"&amp;(ROW()-C$32+C$31))="",$C$1="M2"),"",1+ROW(B438)-C$32)</f>
        <v/>
      </c>
      <c r="C438" t="str" cm="1">
        <f t="array" aca="1" ref="C438" ca="1">IF(ROW()&gt;(C$33+C$32-C$31),"",GammaSelfNext(C$29,INDIRECT(C$26&amp;"!A"&amp;ROW()-C$32+C$31&amp;":F"&amp;ROW()-C$32+C$31),C437))</f>
        <v/>
      </c>
      <c r="D438" t="e">
        <f t="shared" ca="1" si="16"/>
        <v>#N/A</v>
      </c>
      <c r="E438" t="e">
        <f t="shared" ca="1" si="17"/>
        <v>#N/A</v>
      </c>
    </row>
    <row r="439" spans="1:5" x14ac:dyDescent="0.3">
      <c r="A439" t="str" cm="1">
        <f t="array" aca="1" ref="A439" ca="1">IF(OR(INDIRECT($C$26&amp;"!B"&amp;(ROW()-$C$32+$C$31))="",$C$1="M2"),"",1+ROW(A439)-$C$32)</f>
        <v/>
      </c>
      <c r="B439" t="str" cm="1">
        <f t="array" aca="1" ref="B439" ca="1">IF(OR(INDIRECT(C$26&amp;"!B"&amp;(ROW()-C$32+C$31))="",$C$1="M2"),"",1+ROW(B439)-C$32)</f>
        <v/>
      </c>
      <c r="C439" t="str" cm="1">
        <f t="array" aca="1" ref="C439" ca="1">IF(ROW()&gt;(C$33+C$32-C$31),"",GammaSelfNext(C$29,INDIRECT(C$26&amp;"!A"&amp;ROW()-C$32+C$31&amp;":F"&amp;ROW()-C$32+C$31),C438))</f>
        <v/>
      </c>
      <c r="D439" t="e">
        <f t="shared" ca="1" si="16"/>
        <v>#N/A</v>
      </c>
      <c r="E439" t="e">
        <f t="shared" ca="1" si="17"/>
        <v>#N/A</v>
      </c>
    </row>
    <row r="440" spans="1:5" x14ac:dyDescent="0.3">
      <c r="A440" t="str" cm="1">
        <f t="array" aca="1" ref="A440" ca="1">IF(OR(INDIRECT($C$26&amp;"!B"&amp;(ROW()-$C$32+$C$31))="",$C$1="M2"),"",1+ROW(A440)-$C$32)</f>
        <v/>
      </c>
      <c r="B440" t="str" cm="1">
        <f t="array" aca="1" ref="B440" ca="1">IF(OR(INDIRECT(C$26&amp;"!B"&amp;(ROW()-C$32+C$31))="",$C$1="M2"),"",1+ROW(B440)-C$32)</f>
        <v/>
      </c>
      <c r="C440" t="str" cm="1">
        <f t="array" aca="1" ref="C440" ca="1">IF(ROW()&gt;(C$33+C$32-C$31),"",GammaSelfNext(C$29,INDIRECT(C$26&amp;"!A"&amp;ROW()-C$32+C$31&amp;":F"&amp;ROW()-C$32+C$31),C439))</f>
        <v/>
      </c>
      <c r="D440" t="e">
        <f t="shared" ca="1" si="16"/>
        <v>#N/A</v>
      </c>
      <c r="E440" t="e">
        <f t="shared" ca="1" si="17"/>
        <v>#N/A</v>
      </c>
    </row>
    <row r="441" spans="1:5" x14ac:dyDescent="0.3">
      <c r="A441" t="str" cm="1">
        <f t="array" aca="1" ref="A441" ca="1">IF(OR(INDIRECT($C$26&amp;"!B"&amp;(ROW()-$C$32+$C$31))="",$C$1="M2"),"",1+ROW(A441)-$C$32)</f>
        <v/>
      </c>
      <c r="B441" t="str" cm="1">
        <f t="array" aca="1" ref="B441" ca="1">IF(OR(INDIRECT(C$26&amp;"!B"&amp;(ROW()-C$32+C$31))="",$C$1="M2"),"",1+ROW(B441)-C$32)</f>
        <v/>
      </c>
      <c r="C441" t="str" cm="1">
        <f t="array" aca="1" ref="C441" ca="1">IF(ROW()&gt;(C$33+C$32-C$31),"",GammaSelfNext(C$29,INDIRECT(C$26&amp;"!A"&amp;ROW()-C$32+C$31&amp;":F"&amp;ROW()-C$32+C$31),C440))</f>
        <v/>
      </c>
      <c r="D441" t="e">
        <f t="shared" ca="1" si="16"/>
        <v>#N/A</v>
      </c>
      <c r="E441" t="e">
        <f t="shared" ca="1" si="17"/>
        <v>#N/A</v>
      </c>
    </row>
    <row r="442" spans="1:5" x14ac:dyDescent="0.3">
      <c r="A442" t="str" cm="1">
        <f t="array" aca="1" ref="A442" ca="1">IF(OR(INDIRECT($C$26&amp;"!B"&amp;(ROW()-$C$32+$C$31))="",$C$1="M2"),"",1+ROW(A442)-$C$32)</f>
        <v/>
      </c>
      <c r="B442" t="str" cm="1">
        <f t="array" aca="1" ref="B442" ca="1">IF(OR(INDIRECT(C$26&amp;"!B"&amp;(ROW()-C$32+C$31))="",$C$1="M2"),"",1+ROW(B442)-C$32)</f>
        <v/>
      </c>
      <c r="C442" t="str" cm="1">
        <f t="array" aca="1" ref="C442" ca="1">IF(ROW()&gt;(C$33+C$32-C$31),"",GammaSelfNext(C$29,INDIRECT(C$26&amp;"!A"&amp;ROW()-C$32+C$31&amp;":F"&amp;ROW()-C$32+C$31),C441))</f>
        <v/>
      </c>
      <c r="D442" t="e">
        <f t="shared" ca="1" si="16"/>
        <v>#N/A</v>
      </c>
      <c r="E442" t="e">
        <f t="shared" ca="1" si="17"/>
        <v>#N/A</v>
      </c>
    </row>
    <row r="443" spans="1:5" x14ac:dyDescent="0.3">
      <c r="A443" t="str" cm="1">
        <f t="array" aca="1" ref="A443" ca="1">IF(OR(INDIRECT($C$26&amp;"!B"&amp;(ROW()-$C$32+$C$31))="",$C$1="M2"),"",1+ROW(A443)-$C$32)</f>
        <v/>
      </c>
      <c r="B443" t="str" cm="1">
        <f t="array" aca="1" ref="B443" ca="1">IF(OR(INDIRECT(C$26&amp;"!B"&amp;(ROW()-C$32+C$31))="",$C$1="M2"),"",1+ROW(B443)-C$32)</f>
        <v/>
      </c>
      <c r="C443" t="str" cm="1">
        <f t="array" aca="1" ref="C443" ca="1">IF(ROW()&gt;(C$33+C$32-C$31),"",GammaSelfNext(C$29,INDIRECT(C$26&amp;"!A"&amp;ROW()-C$32+C$31&amp;":F"&amp;ROW()-C$32+C$31),C442))</f>
        <v/>
      </c>
      <c r="D443" t="e">
        <f t="shared" ca="1" si="16"/>
        <v>#N/A</v>
      </c>
      <c r="E443" t="e">
        <f t="shared" ca="1" si="17"/>
        <v>#N/A</v>
      </c>
    </row>
    <row r="444" spans="1:5" x14ac:dyDescent="0.3">
      <c r="A444" t="str" cm="1">
        <f t="array" aca="1" ref="A444" ca="1">IF(OR(INDIRECT($C$26&amp;"!B"&amp;(ROW()-$C$32+$C$31))="",$C$1="M2"),"",1+ROW(A444)-$C$32)</f>
        <v/>
      </c>
      <c r="B444" t="str" cm="1">
        <f t="array" aca="1" ref="B444" ca="1">IF(OR(INDIRECT(C$26&amp;"!B"&amp;(ROW()-C$32+C$31))="",$C$1="M2"),"",1+ROW(B444)-C$32)</f>
        <v/>
      </c>
      <c r="C444" t="str" cm="1">
        <f t="array" aca="1" ref="C444" ca="1">IF(ROW()&gt;(C$33+C$32-C$31),"",GammaSelfNext(C$29,INDIRECT(C$26&amp;"!A"&amp;ROW()-C$32+C$31&amp;":F"&amp;ROW()-C$32+C$31),C443))</f>
        <v/>
      </c>
      <c r="D444" t="e">
        <f t="shared" ca="1" si="16"/>
        <v>#N/A</v>
      </c>
      <c r="E444" t="e">
        <f t="shared" ca="1" si="17"/>
        <v>#N/A</v>
      </c>
    </row>
    <row r="445" spans="1:5" x14ac:dyDescent="0.3">
      <c r="A445" t="str" cm="1">
        <f t="array" aca="1" ref="A445" ca="1">IF(OR(INDIRECT($C$26&amp;"!B"&amp;(ROW()-$C$32+$C$31))="",$C$1="M2"),"",1+ROW(A445)-$C$32)</f>
        <v/>
      </c>
      <c r="B445" t="str" cm="1">
        <f t="array" aca="1" ref="B445" ca="1">IF(OR(INDIRECT(C$26&amp;"!B"&amp;(ROW()-C$32+C$31))="",$C$1="M2"),"",1+ROW(B445)-C$32)</f>
        <v/>
      </c>
      <c r="C445" t="str" cm="1">
        <f t="array" aca="1" ref="C445" ca="1">IF(ROW()&gt;(C$33+C$32-C$31),"",GammaSelfNext(C$29,INDIRECT(C$26&amp;"!A"&amp;ROW()-C$32+C$31&amp;":F"&amp;ROW()-C$32+C$31),C444))</f>
        <v/>
      </c>
      <c r="D445" t="e">
        <f t="shared" ca="1" si="16"/>
        <v>#N/A</v>
      </c>
      <c r="E445" t="e">
        <f t="shared" ca="1" si="17"/>
        <v>#N/A</v>
      </c>
    </row>
    <row r="446" spans="1:5" x14ac:dyDescent="0.3">
      <c r="A446" t="str" cm="1">
        <f t="array" aca="1" ref="A446" ca="1">IF(OR(INDIRECT($C$26&amp;"!B"&amp;(ROW()-$C$32+$C$31))="",$C$1="M2"),"",1+ROW(A446)-$C$32)</f>
        <v/>
      </c>
      <c r="B446" t="str" cm="1">
        <f t="array" aca="1" ref="B446" ca="1">IF(OR(INDIRECT(C$26&amp;"!B"&amp;(ROW()-C$32+C$31))="",$C$1="M2"),"",1+ROW(B446)-C$32)</f>
        <v/>
      </c>
      <c r="C446" t="str" cm="1">
        <f t="array" aca="1" ref="C446" ca="1">IF(ROW()&gt;(C$33+C$32-C$31),"",GammaSelfNext(C$29,INDIRECT(C$26&amp;"!A"&amp;ROW()-C$32+C$31&amp;":F"&amp;ROW()-C$32+C$31),C445))</f>
        <v/>
      </c>
      <c r="D446" t="e">
        <f t="shared" ca="1" si="16"/>
        <v>#N/A</v>
      </c>
      <c r="E446" t="e">
        <f t="shared" ca="1" si="17"/>
        <v>#N/A</v>
      </c>
    </row>
    <row r="447" spans="1:5" x14ac:dyDescent="0.3">
      <c r="A447" t="str" cm="1">
        <f t="array" aca="1" ref="A447" ca="1">IF(OR(INDIRECT($C$26&amp;"!B"&amp;(ROW()-$C$32+$C$31))="",$C$1="M2"),"",1+ROW(A447)-$C$32)</f>
        <v/>
      </c>
      <c r="B447" t="str" cm="1">
        <f t="array" aca="1" ref="B447" ca="1">IF(OR(INDIRECT(C$26&amp;"!B"&amp;(ROW()-C$32+C$31))="",$C$1="M2"),"",1+ROW(B447)-C$32)</f>
        <v/>
      </c>
      <c r="C447" t="str" cm="1">
        <f t="array" aca="1" ref="C447" ca="1">IF(ROW()&gt;(C$33+C$32-C$31),"",GammaSelfNext(C$29,INDIRECT(C$26&amp;"!A"&amp;ROW()-C$32+C$31&amp;":F"&amp;ROW()-C$32+C$31),C446))</f>
        <v/>
      </c>
      <c r="D447" t="e">
        <f t="shared" ca="1" si="16"/>
        <v>#N/A</v>
      </c>
      <c r="E447" t="e">
        <f t="shared" ca="1" si="17"/>
        <v>#N/A</v>
      </c>
    </row>
    <row r="448" spans="1:5" x14ac:dyDescent="0.3">
      <c r="A448" t="str" cm="1">
        <f t="array" aca="1" ref="A448" ca="1">IF(OR(INDIRECT($C$26&amp;"!B"&amp;(ROW()-$C$32+$C$31))="",$C$1="M2"),"",1+ROW(A448)-$C$32)</f>
        <v/>
      </c>
      <c r="B448" t="str" cm="1">
        <f t="array" aca="1" ref="B448" ca="1">IF(OR(INDIRECT(C$26&amp;"!B"&amp;(ROW()-C$32+C$31))="",$C$1="M2"),"",1+ROW(B448)-C$32)</f>
        <v/>
      </c>
      <c r="C448" t="str" cm="1">
        <f t="array" aca="1" ref="C448" ca="1">IF(ROW()&gt;(C$33+C$32-C$31),"",GammaSelfNext(C$29,INDIRECT(C$26&amp;"!A"&amp;ROW()-C$32+C$31&amp;":F"&amp;ROW()-C$32+C$31),C447))</f>
        <v/>
      </c>
      <c r="D448" t="e">
        <f t="shared" ca="1" si="16"/>
        <v>#N/A</v>
      </c>
      <c r="E448" t="e">
        <f t="shared" ca="1" si="17"/>
        <v>#N/A</v>
      </c>
    </row>
    <row r="449" spans="1:5" x14ac:dyDescent="0.3">
      <c r="A449" t="str" cm="1">
        <f t="array" aca="1" ref="A449" ca="1">IF(OR(INDIRECT($C$26&amp;"!B"&amp;(ROW()-$C$32+$C$31))="",$C$1="M2"),"",1+ROW(A449)-$C$32)</f>
        <v/>
      </c>
      <c r="B449" t="str" cm="1">
        <f t="array" aca="1" ref="B449" ca="1">IF(OR(INDIRECT(C$26&amp;"!B"&amp;(ROW()-C$32+C$31))="",$C$1="M2"),"",1+ROW(B449)-C$32)</f>
        <v/>
      </c>
      <c r="C449" t="str" cm="1">
        <f t="array" aca="1" ref="C449" ca="1">IF(ROW()&gt;(C$33+C$32-C$31),"",GammaSelfNext(C$29,INDIRECT(C$26&amp;"!A"&amp;ROW()-C$32+C$31&amp;":F"&amp;ROW()-C$32+C$31),C448))</f>
        <v/>
      </c>
      <c r="D449" t="e">
        <f t="shared" ca="1" si="16"/>
        <v>#N/A</v>
      </c>
      <c r="E449" t="e">
        <f t="shared" ca="1" si="17"/>
        <v>#N/A</v>
      </c>
    </row>
    <row r="450" spans="1:5" x14ac:dyDescent="0.3">
      <c r="A450" t="str" cm="1">
        <f t="array" aca="1" ref="A450" ca="1">IF(OR(INDIRECT($C$26&amp;"!B"&amp;(ROW()-$C$32+$C$31))="",$C$1="M2"),"",1+ROW(A450)-$C$32)</f>
        <v/>
      </c>
      <c r="B450" t="str" cm="1">
        <f t="array" aca="1" ref="B450" ca="1">IF(OR(INDIRECT(C$26&amp;"!B"&amp;(ROW()-C$32+C$31))="",$C$1="M2"),"",1+ROW(B450)-C$32)</f>
        <v/>
      </c>
      <c r="C450" t="str" cm="1">
        <f t="array" aca="1" ref="C450" ca="1">IF(ROW()&gt;(C$33+C$32-C$31),"",GammaSelfNext(C$29,INDIRECT(C$26&amp;"!A"&amp;ROW()-C$32+C$31&amp;":F"&amp;ROW()-C$32+C$31),C449))</f>
        <v/>
      </c>
      <c r="D450" t="e">
        <f t="shared" ca="1" si="16"/>
        <v>#N/A</v>
      </c>
      <c r="E450" t="e">
        <f t="shared" ca="1" si="17"/>
        <v>#N/A</v>
      </c>
    </row>
    <row r="451" spans="1:5" x14ac:dyDescent="0.3">
      <c r="A451" t="str" cm="1">
        <f t="array" aca="1" ref="A451" ca="1">IF(OR(INDIRECT($C$26&amp;"!B"&amp;(ROW()-$C$32+$C$31))="",$C$1="M2"),"",1+ROW(A451)-$C$32)</f>
        <v/>
      </c>
      <c r="B451" t="str" cm="1">
        <f t="array" aca="1" ref="B451" ca="1">IF(OR(INDIRECT(C$26&amp;"!B"&amp;(ROW()-C$32+C$31))="",$C$1="M2"),"",1+ROW(B451)-C$32)</f>
        <v/>
      </c>
      <c r="C451" t="str" cm="1">
        <f t="array" aca="1" ref="C451" ca="1">IF(ROW()&gt;(C$33+C$32-C$31),"",GammaSelfNext(C$29,INDIRECT(C$26&amp;"!A"&amp;ROW()-C$32+C$31&amp;":F"&amp;ROW()-C$32+C$31),C450))</f>
        <v/>
      </c>
      <c r="D451" t="e">
        <f t="shared" ca="1" si="16"/>
        <v>#N/A</v>
      </c>
      <c r="E451" t="e">
        <f t="shared" ca="1" si="17"/>
        <v>#N/A</v>
      </c>
    </row>
    <row r="452" spans="1:5" x14ac:dyDescent="0.3">
      <c r="A452" t="str" cm="1">
        <f t="array" aca="1" ref="A452" ca="1">IF(OR(INDIRECT($C$26&amp;"!B"&amp;(ROW()-$C$32+$C$31))="",$C$1="M2"),"",1+ROW(A452)-$C$32)</f>
        <v/>
      </c>
      <c r="B452" t="str" cm="1">
        <f t="array" aca="1" ref="B452" ca="1">IF(OR(INDIRECT(C$26&amp;"!B"&amp;(ROW()-C$32+C$31))="",$C$1="M2"),"",1+ROW(B452)-C$32)</f>
        <v/>
      </c>
      <c r="C452" t="str" cm="1">
        <f t="array" aca="1" ref="C452" ca="1">IF(ROW()&gt;(C$33+C$32-C$31),"",GammaSelfNext(C$29,INDIRECT(C$26&amp;"!A"&amp;ROW()-C$32+C$31&amp;":F"&amp;ROW()-C$32+C$31),C451))</f>
        <v/>
      </c>
      <c r="D452" t="e">
        <f t="shared" ca="1" si="16"/>
        <v>#N/A</v>
      </c>
      <c r="E452" t="e">
        <f t="shared" ca="1" si="17"/>
        <v>#N/A</v>
      </c>
    </row>
    <row r="453" spans="1:5" x14ac:dyDescent="0.3">
      <c r="A453" t="str" cm="1">
        <f t="array" aca="1" ref="A453" ca="1">IF(OR(INDIRECT($C$26&amp;"!B"&amp;(ROW()-$C$32+$C$31))="",$C$1="M2"),"",1+ROW(A453)-$C$32)</f>
        <v/>
      </c>
      <c r="B453" t="str" cm="1">
        <f t="array" aca="1" ref="B453" ca="1">IF(OR(INDIRECT(C$26&amp;"!B"&amp;(ROW()-C$32+C$31))="",$C$1="M2"),"",1+ROW(B453)-C$32)</f>
        <v/>
      </c>
      <c r="C453" t="str" cm="1">
        <f t="array" aca="1" ref="C453" ca="1">IF(ROW()&gt;(C$33+C$32-C$31),"",GammaSelfNext(C$29,INDIRECT(C$26&amp;"!A"&amp;ROW()-C$32+C$31&amp;":F"&amp;ROW()-C$32+C$31),C452))</f>
        <v/>
      </c>
      <c r="D453" t="e">
        <f t="shared" ca="1" si="16"/>
        <v>#N/A</v>
      </c>
      <c r="E453" t="e">
        <f t="shared" ca="1" si="17"/>
        <v>#N/A</v>
      </c>
    </row>
    <row r="454" spans="1:5" x14ac:dyDescent="0.3">
      <c r="A454" t="str" cm="1">
        <f t="array" aca="1" ref="A454" ca="1">IF(OR(INDIRECT($C$26&amp;"!B"&amp;(ROW()-$C$32+$C$31))="",$C$1="M2"),"",1+ROW(A454)-$C$32)</f>
        <v/>
      </c>
      <c r="B454" t="str" cm="1">
        <f t="array" aca="1" ref="B454" ca="1">IF(OR(INDIRECT(C$26&amp;"!B"&amp;(ROW()-C$32+C$31))="",$C$1="M2"),"",1+ROW(B454)-C$32)</f>
        <v/>
      </c>
      <c r="C454" t="str" cm="1">
        <f t="array" aca="1" ref="C454" ca="1">IF(ROW()&gt;(C$33+C$32-C$31),"",GammaSelfNext(C$29,INDIRECT(C$26&amp;"!A"&amp;ROW()-C$32+C$31&amp;":F"&amp;ROW()-C$32+C$31),C453))</f>
        <v/>
      </c>
      <c r="D454" t="e">
        <f t="shared" ca="1" si="16"/>
        <v>#N/A</v>
      </c>
      <c r="E454" t="e">
        <f t="shared" ca="1" si="17"/>
        <v>#N/A</v>
      </c>
    </row>
    <row r="455" spans="1:5" x14ac:dyDescent="0.3">
      <c r="A455" t="str" cm="1">
        <f t="array" aca="1" ref="A455" ca="1">IF(OR(INDIRECT($C$26&amp;"!B"&amp;(ROW()-$C$32+$C$31))="",$C$1="M2"),"",1+ROW(A455)-$C$32)</f>
        <v/>
      </c>
      <c r="B455" t="str" cm="1">
        <f t="array" aca="1" ref="B455" ca="1">IF(OR(INDIRECT(C$26&amp;"!B"&amp;(ROW()-C$32+C$31))="",$C$1="M2"),"",1+ROW(B455)-C$32)</f>
        <v/>
      </c>
      <c r="C455" t="str" cm="1">
        <f t="array" aca="1" ref="C455" ca="1">IF(ROW()&gt;(C$33+C$32-C$31),"",GammaSelfNext(C$29,INDIRECT(C$26&amp;"!A"&amp;ROW()-C$32+C$31&amp;":F"&amp;ROW()-C$32+C$31),C454))</f>
        <v/>
      </c>
      <c r="D455" t="e">
        <f t="shared" ca="1" si="16"/>
        <v>#N/A</v>
      </c>
      <c r="E455" t="e">
        <f t="shared" ca="1" si="17"/>
        <v>#N/A</v>
      </c>
    </row>
    <row r="456" spans="1:5" x14ac:dyDescent="0.3">
      <c r="A456" t="str" cm="1">
        <f t="array" aca="1" ref="A456" ca="1">IF(OR(INDIRECT($C$26&amp;"!B"&amp;(ROW()-$C$32+$C$31))="",$C$1="M2"),"",1+ROW(A456)-$C$32)</f>
        <v/>
      </c>
      <c r="B456" t="str" cm="1">
        <f t="array" aca="1" ref="B456" ca="1">IF(OR(INDIRECT(C$26&amp;"!B"&amp;(ROW()-C$32+C$31))="",$C$1="M2"),"",1+ROW(B456)-C$32)</f>
        <v/>
      </c>
      <c r="C456" t="str" cm="1">
        <f t="array" aca="1" ref="C456" ca="1">IF(ROW()&gt;(C$33+C$32-C$31),"",GammaSelfNext(C$29,INDIRECT(C$26&amp;"!A"&amp;ROW()-C$32+C$31&amp;":F"&amp;ROW()-C$32+C$31),C455))</f>
        <v/>
      </c>
      <c r="D456" t="e">
        <f t="shared" ca="1" si="16"/>
        <v>#N/A</v>
      </c>
      <c r="E456" t="e">
        <f t="shared" ca="1" si="17"/>
        <v>#N/A</v>
      </c>
    </row>
    <row r="457" spans="1:5" x14ac:dyDescent="0.3">
      <c r="A457" t="str" cm="1">
        <f t="array" aca="1" ref="A457" ca="1">IF(OR(INDIRECT($C$26&amp;"!B"&amp;(ROW()-$C$32+$C$31))="",$C$1="M2"),"",1+ROW(A457)-$C$32)</f>
        <v/>
      </c>
      <c r="B457" t="str" cm="1">
        <f t="array" aca="1" ref="B457" ca="1">IF(OR(INDIRECT(C$26&amp;"!B"&amp;(ROW()-C$32+C$31))="",$C$1="M2"),"",1+ROW(B457)-C$32)</f>
        <v/>
      </c>
      <c r="C457" t="str" cm="1">
        <f t="array" aca="1" ref="C457" ca="1">IF(ROW()&gt;(C$33+C$32-C$31),"",GammaSelfNext(C$29,INDIRECT(C$26&amp;"!A"&amp;ROW()-C$32+C$31&amp;":F"&amp;ROW()-C$32+C$31),C456))</f>
        <v/>
      </c>
      <c r="D457" t="e">
        <f t="shared" ca="1" si="16"/>
        <v>#N/A</v>
      </c>
      <c r="E457" t="e">
        <f t="shared" ca="1" si="17"/>
        <v>#N/A</v>
      </c>
    </row>
    <row r="458" spans="1:5" x14ac:dyDescent="0.3">
      <c r="A458" t="str" cm="1">
        <f t="array" aca="1" ref="A458" ca="1">IF(OR(INDIRECT($C$26&amp;"!B"&amp;(ROW()-$C$32+$C$31))="",$C$1="M2"),"",1+ROW(A458)-$C$32)</f>
        <v/>
      </c>
      <c r="B458" t="str" cm="1">
        <f t="array" aca="1" ref="B458" ca="1">IF(OR(INDIRECT(C$26&amp;"!B"&amp;(ROW()-C$32+C$31))="",$C$1="M2"),"",1+ROW(B458)-C$32)</f>
        <v/>
      </c>
      <c r="C458" t="str" cm="1">
        <f t="array" aca="1" ref="C458" ca="1">IF(ROW()&gt;(C$33+C$32-C$31),"",GammaSelfNext(C$29,INDIRECT(C$26&amp;"!A"&amp;ROW()-C$32+C$31&amp;":F"&amp;ROW()-C$32+C$31),C457))</f>
        <v/>
      </c>
      <c r="D458" t="e">
        <f t="shared" ca="1" si="16"/>
        <v>#N/A</v>
      </c>
      <c r="E458" t="e">
        <f t="shared" ca="1" si="17"/>
        <v>#N/A</v>
      </c>
    </row>
    <row r="459" spans="1:5" x14ac:dyDescent="0.3">
      <c r="A459" t="str" cm="1">
        <f t="array" aca="1" ref="A459" ca="1">IF(OR(INDIRECT($C$26&amp;"!B"&amp;(ROW()-$C$32+$C$31))="",$C$1="M2"),"",1+ROW(A459)-$C$32)</f>
        <v/>
      </c>
      <c r="B459" t="str" cm="1">
        <f t="array" aca="1" ref="B459" ca="1">IF(OR(INDIRECT(C$26&amp;"!B"&amp;(ROW()-C$32+C$31))="",$C$1="M2"),"",1+ROW(B459)-C$32)</f>
        <v/>
      </c>
      <c r="C459" t="str" cm="1">
        <f t="array" aca="1" ref="C459" ca="1">IF(ROW()&gt;(C$33+C$32-C$31),"",GammaSelfNext(C$29,INDIRECT(C$26&amp;"!A"&amp;ROW()-C$32+C$31&amp;":F"&amp;ROW()-C$32+C$31),C458))</f>
        <v/>
      </c>
      <c r="D459" t="e">
        <f t="shared" ca="1" si="16"/>
        <v>#N/A</v>
      </c>
      <c r="E459" t="e">
        <f t="shared" ca="1" si="17"/>
        <v>#N/A</v>
      </c>
    </row>
    <row r="460" spans="1:5" x14ac:dyDescent="0.3">
      <c r="A460" t="str" cm="1">
        <f t="array" aca="1" ref="A460" ca="1">IF(OR(INDIRECT($C$26&amp;"!B"&amp;(ROW()-$C$32+$C$31))="",$C$1="M2"),"",1+ROW(A460)-$C$32)</f>
        <v/>
      </c>
      <c r="B460" t="str" cm="1">
        <f t="array" aca="1" ref="B460" ca="1">IF(OR(INDIRECT(C$26&amp;"!B"&amp;(ROW()-C$32+C$31))="",$C$1="M2"),"",1+ROW(B460)-C$32)</f>
        <v/>
      </c>
      <c r="C460" t="str" cm="1">
        <f t="array" aca="1" ref="C460" ca="1">IF(ROW()&gt;(C$33+C$32-C$31),"",GammaSelfNext(C$29,INDIRECT(C$26&amp;"!A"&amp;ROW()-C$32+C$31&amp;":F"&amp;ROW()-C$32+C$31),C459))</f>
        <v/>
      </c>
      <c r="D460" t="e">
        <f t="shared" ca="1" si="16"/>
        <v>#N/A</v>
      </c>
      <c r="E460" t="e">
        <f t="shared" ca="1" si="17"/>
        <v>#N/A</v>
      </c>
    </row>
    <row r="461" spans="1:5" x14ac:dyDescent="0.3">
      <c r="A461" t="str" cm="1">
        <f t="array" aca="1" ref="A461" ca="1">IF(OR(INDIRECT($C$26&amp;"!B"&amp;(ROW()-$C$32+$C$31))="",$C$1="M2"),"",1+ROW(A461)-$C$32)</f>
        <v/>
      </c>
      <c r="B461" t="str" cm="1">
        <f t="array" aca="1" ref="B461" ca="1">IF(OR(INDIRECT(C$26&amp;"!B"&amp;(ROW()-C$32+C$31))="",$C$1="M2"),"",1+ROW(B461)-C$32)</f>
        <v/>
      </c>
      <c r="C461" t="str" cm="1">
        <f t="array" aca="1" ref="C461" ca="1">IF(ROW()&gt;(C$33+C$32-C$31),"",GammaSelfNext(C$29,INDIRECT(C$26&amp;"!A"&amp;ROW()-C$32+C$31&amp;":F"&amp;ROW()-C$32+C$31),C460))</f>
        <v/>
      </c>
      <c r="D461" t="e">
        <f t="shared" ca="1" si="16"/>
        <v>#N/A</v>
      </c>
      <c r="E461" t="e">
        <f t="shared" ca="1" si="17"/>
        <v>#N/A</v>
      </c>
    </row>
    <row r="462" spans="1:5" x14ac:dyDescent="0.3">
      <c r="A462" t="str" cm="1">
        <f t="array" aca="1" ref="A462" ca="1">IF(OR(INDIRECT($C$26&amp;"!B"&amp;(ROW()-$C$32+$C$31))="",$C$1="M2"),"",1+ROW(A462)-$C$32)</f>
        <v/>
      </c>
      <c r="B462" t="str" cm="1">
        <f t="array" aca="1" ref="B462" ca="1">IF(OR(INDIRECT(C$26&amp;"!B"&amp;(ROW()-C$32+C$31))="",$C$1="M2"),"",1+ROW(B462)-C$32)</f>
        <v/>
      </c>
      <c r="C462" t="str" cm="1">
        <f t="array" aca="1" ref="C462" ca="1">IF(ROW()&gt;(C$33+C$32-C$31),"",GammaSelfNext(C$29,INDIRECT(C$26&amp;"!A"&amp;ROW()-C$32+C$31&amp;":F"&amp;ROW()-C$32+C$31),C461))</f>
        <v/>
      </c>
      <c r="D462" t="e">
        <f t="shared" ca="1" si="16"/>
        <v>#N/A</v>
      </c>
      <c r="E462" t="e">
        <f t="shared" ca="1" si="17"/>
        <v>#N/A</v>
      </c>
    </row>
    <row r="463" spans="1:5" x14ac:dyDescent="0.3">
      <c r="A463" t="str" cm="1">
        <f t="array" aca="1" ref="A463" ca="1">IF(OR(INDIRECT($C$26&amp;"!B"&amp;(ROW()-$C$32+$C$31))="",$C$1="M2"),"",1+ROW(A463)-$C$32)</f>
        <v/>
      </c>
      <c r="B463" t="str" cm="1">
        <f t="array" aca="1" ref="B463" ca="1">IF(OR(INDIRECT(C$26&amp;"!B"&amp;(ROW()-C$32+C$31))="",$C$1="M2"),"",1+ROW(B463)-C$32)</f>
        <v/>
      </c>
      <c r="C463" t="str" cm="1">
        <f t="array" aca="1" ref="C463" ca="1">IF(ROW()&gt;(C$33+C$32-C$31),"",GammaSelfNext(C$29,INDIRECT(C$26&amp;"!A"&amp;ROW()-C$32+C$31&amp;":F"&amp;ROW()-C$32+C$31),C462))</f>
        <v/>
      </c>
      <c r="D463" t="e">
        <f t="shared" ca="1" si="16"/>
        <v>#N/A</v>
      </c>
      <c r="E463" t="e">
        <f t="shared" ca="1" si="17"/>
        <v>#N/A</v>
      </c>
    </row>
    <row r="464" spans="1:5" x14ac:dyDescent="0.3">
      <c r="A464" t="str" cm="1">
        <f t="array" aca="1" ref="A464" ca="1">IF(OR(INDIRECT($C$26&amp;"!B"&amp;(ROW()-$C$32+$C$31))="",$C$1="M2"),"",1+ROW(A464)-$C$32)</f>
        <v/>
      </c>
      <c r="B464" t="str" cm="1">
        <f t="array" aca="1" ref="B464" ca="1">IF(OR(INDIRECT(C$26&amp;"!B"&amp;(ROW()-C$32+C$31))="",$C$1="M2"),"",1+ROW(B464)-C$32)</f>
        <v/>
      </c>
      <c r="C464" t="str" cm="1">
        <f t="array" aca="1" ref="C464" ca="1">IF(ROW()&gt;(C$33+C$32-C$31),"",GammaSelfNext(C$29,INDIRECT(C$26&amp;"!A"&amp;ROW()-C$32+C$31&amp;":F"&amp;ROW()-C$32+C$31),C463))</f>
        <v/>
      </c>
      <c r="D464" t="e">
        <f t="shared" ca="1" si="16"/>
        <v>#N/A</v>
      </c>
      <c r="E464" t="e">
        <f t="shared" ca="1" si="17"/>
        <v>#N/A</v>
      </c>
    </row>
    <row r="465" spans="1:5" x14ac:dyDescent="0.3">
      <c r="A465" t="str" cm="1">
        <f t="array" aca="1" ref="A465" ca="1">IF(OR(INDIRECT($C$26&amp;"!B"&amp;(ROW()-$C$32+$C$31))="",$C$1="M2"),"",1+ROW(A465)-$C$32)</f>
        <v/>
      </c>
      <c r="B465" t="str" cm="1">
        <f t="array" aca="1" ref="B465" ca="1">IF(OR(INDIRECT(C$26&amp;"!B"&amp;(ROW()-C$32+C$31))="",$C$1="M2"),"",1+ROW(B465)-C$32)</f>
        <v/>
      </c>
      <c r="C465" t="str" cm="1">
        <f t="array" aca="1" ref="C465" ca="1">IF(ROW()&gt;(C$33+C$32-C$31),"",GammaSelfNext(C$29,INDIRECT(C$26&amp;"!A"&amp;ROW()-C$32+C$31&amp;":F"&amp;ROW()-C$32+C$31),C464))</f>
        <v/>
      </c>
      <c r="D465" t="e">
        <f t="shared" ca="1" si="16"/>
        <v>#N/A</v>
      </c>
      <c r="E465" t="e">
        <f t="shared" ca="1" si="17"/>
        <v>#N/A</v>
      </c>
    </row>
    <row r="466" spans="1:5" x14ac:dyDescent="0.3">
      <c r="A466" t="str" cm="1">
        <f t="array" aca="1" ref="A466" ca="1">IF(OR(INDIRECT($C$26&amp;"!B"&amp;(ROW()-$C$32+$C$31))="",$C$1="M2"),"",1+ROW(A466)-$C$32)</f>
        <v/>
      </c>
      <c r="B466" t="str" cm="1">
        <f t="array" aca="1" ref="B466" ca="1">IF(OR(INDIRECT(C$26&amp;"!B"&amp;(ROW()-C$32+C$31))="",$C$1="M2"),"",1+ROW(B466)-C$32)</f>
        <v/>
      </c>
      <c r="C466" t="str" cm="1">
        <f t="array" aca="1" ref="C466" ca="1">IF(ROW()&gt;(C$33+C$32-C$31),"",GammaSelfNext(C$29,INDIRECT(C$26&amp;"!A"&amp;ROW()-C$32+C$31&amp;":F"&amp;ROW()-C$32+C$31),C465))</f>
        <v/>
      </c>
      <c r="D466" t="e">
        <f t="shared" ca="1" si="16"/>
        <v>#N/A</v>
      </c>
      <c r="E466" t="e">
        <f t="shared" ca="1" si="17"/>
        <v>#N/A</v>
      </c>
    </row>
    <row r="467" spans="1:5" x14ac:dyDescent="0.3">
      <c r="A467" t="str" cm="1">
        <f t="array" aca="1" ref="A467" ca="1">IF(OR(INDIRECT($C$26&amp;"!B"&amp;(ROW()-$C$32+$C$31))="",$C$1="M2"),"",1+ROW(A467)-$C$32)</f>
        <v/>
      </c>
      <c r="B467" t="str" cm="1">
        <f t="array" aca="1" ref="B467" ca="1">IF(OR(INDIRECT(C$26&amp;"!B"&amp;(ROW()-C$32+C$31))="",$C$1="M2"),"",1+ROW(B467)-C$32)</f>
        <v/>
      </c>
      <c r="C467" t="str" cm="1">
        <f t="array" aca="1" ref="C467" ca="1">IF(ROW()&gt;(C$33+C$32-C$31),"",GammaSelfNext(C$29,INDIRECT(C$26&amp;"!A"&amp;ROW()-C$32+C$31&amp;":F"&amp;ROW()-C$32+C$31),C466))</f>
        <v/>
      </c>
      <c r="D467" t="e">
        <f t="shared" ca="1" si="16"/>
        <v>#N/A</v>
      </c>
      <c r="E467" t="e">
        <f t="shared" ca="1" si="17"/>
        <v>#N/A</v>
      </c>
    </row>
    <row r="468" spans="1:5" x14ac:dyDescent="0.3">
      <c r="A468" t="str" cm="1">
        <f t="array" aca="1" ref="A468" ca="1">IF(OR(INDIRECT($C$26&amp;"!B"&amp;(ROW()-$C$32+$C$31))="",$C$1="M2"),"",1+ROW(A468)-$C$32)</f>
        <v/>
      </c>
      <c r="B468" t="str" cm="1">
        <f t="array" aca="1" ref="B468" ca="1">IF(OR(INDIRECT(C$26&amp;"!B"&amp;(ROW()-C$32+C$31))="",$C$1="M2"),"",1+ROW(B468)-C$32)</f>
        <v/>
      </c>
      <c r="C468" t="str" cm="1">
        <f t="array" aca="1" ref="C468" ca="1">IF(ROW()&gt;(C$33+C$32-C$31),"",GammaSelfNext(C$29,INDIRECT(C$26&amp;"!A"&amp;ROW()-C$32+C$31&amp;":F"&amp;ROW()-C$32+C$31),C467))</f>
        <v/>
      </c>
      <c r="D468" t="e">
        <f t="shared" ca="1" si="16"/>
        <v>#N/A</v>
      </c>
      <c r="E468" t="e">
        <f t="shared" ca="1" si="17"/>
        <v>#N/A</v>
      </c>
    </row>
    <row r="469" spans="1:5" x14ac:dyDescent="0.3">
      <c r="A469" t="str" cm="1">
        <f t="array" aca="1" ref="A469" ca="1">IF(OR(INDIRECT($C$26&amp;"!B"&amp;(ROW()-$C$32+$C$31))="",$C$1="M2"),"",1+ROW(A469)-$C$32)</f>
        <v/>
      </c>
      <c r="B469" t="str" cm="1">
        <f t="array" aca="1" ref="B469" ca="1">IF(OR(INDIRECT(C$26&amp;"!B"&amp;(ROW()-C$32+C$31))="",$C$1="M2"),"",1+ROW(B469)-C$32)</f>
        <v/>
      </c>
      <c r="C469" t="str" cm="1">
        <f t="array" aca="1" ref="C469" ca="1">IF(ROW()&gt;(C$33+C$32-C$31),"",GammaSelfNext(C$29,INDIRECT(C$26&amp;"!A"&amp;ROW()-C$32+C$31&amp;":F"&amp;ROW()-C$32+C$31),C468))</f>
        <v/>
      </c>
      <c r="D469" t="e">
        <f t="shared" ca="1" si="16"/>
        <v>#N/A</v>
      </c>
      <c r="E469" t="e">
        <f t="shared" ca="1" si="17"/>
        <v>#N/A</v>
      </c>
    </row>
    <row r="470" spans="1:5" x14ac:dyDescent="0.3">
      <c r="A470" t="str" cm="1">
        <f t="array" aca="1" ref="A470" ca="1">IF(OR(INDIRECT($C$26&amp;"!B"&amp;(ROW()-$C$32+$C$31))="",$C$1="M2"),"",1+ROW(A470)-$C$32)</f>
        <v/>
      </c>
      <c r="B470" t="str" cm="1">
        <f t="array" aca="1" ref="B470" ca="1">IF(OR(INDIRECT(C$26&amp;"!B"&amp;(ROW()-C$32+C$31))="",$C$1="M2"),"",1+ROW(B470)-C$32)</f>
        <v/>
      </c>
      <c r="C470" t="str" cm="1">
        <f t="array" aca="1" ref="C470" ca="1">IF(ROW()&gt;(C$33+C$32-C$31),"",GammaSelfNext(C$29,INDIRECT(C$26&amp;"!A"&amp;ROW()-C$32+C$31&amp;":F"&amp;ROW()-C$32+C$31),C469))</f>
        <v/>
      </c>
      <c r="D470" t="e">
        <f t="shared" ca="1" si="16"/>
        <v>#N/A</v>
      </c>
      <c r="E470" t="e">
        <f t="shared" ca="1" si="17"/>
        <v>#N/A</v>
      </c>
    </row>
    <row r="471" spans="1:5" x14ac:dyDescent="0.3">
      <c r="A471" t="str" cm="1">
        <f t="array" aca="1" ref="A471" ca="1">IF(OR(INDIRECT($C$26&amp;"!B"&amp;(ROW()-$C$32+$C$31))="",$C$1="M2"),"",1+ROW(A471)-$C$32)</f>
        <v/>
      </c>
      <c r="B471" t="str" cm="1">
        <f t="array" aca="1" ref="B471" ca="1">IF(OR(INDIRECT(C$26&amp;"!B"&amp;(ROW()-C$32+C$31))="",$C$1="M2"),"",1+ROW(B471)-C$32)</f>
        <v/>
      </c>
      <c r="C471" t="str" cm="1">
        <f t="array" aca="1" ref="C471" ca="1">IF(ROW()&gt;(C$33+C$32-C$31),"",GammaSelfNext(C$29,INDIRECT(C$26&amp;"!A"&amp;ROW()-C$32+C$31&amp;":F"&amp;ROW()-C$32+C$31),C470))</f>
        <v/>
      </c>
      <c r="D471" t="e">
        <f t="shared" ca="1" si="16"/>
        <v>#N/A</v>
      </c>
      <c r="E471" t="e">
        <f t="shared" ca="1" si="17"/>
        <v>#N/A</v>
      </c>
    </row>
    <row r="472" spans="1:5" x14ac:dyDescent="0.3">
      <c r="A472" t="str" cm="1">
        <f t="array" aca="1" ref="A472" ca="1">IF(OR(INDIRECT($C$26&amp;"!B"&amp;(ROW()-$C$32+$C$31))="",$C$1="M2"),"",1+ROW(A472)-$C$32)</f>
        <v/>
      </c>
      <c r="B472" t="str" cm="1">
        <f t="array" aca="1" ref="B472" ca="1">IF(OR(INDIRECT(C$26&amp;"!B"&amp;(ROW()-C$32+C$31))="",$C$1="M2"),"",1+ROW(B472)-C$32)</f>
        <v/>
      </c>
      <c r="C472" t="str" cm="1">
        <f t="array" aca="1" ref="C472" ca="1">IF(ROW()&gt;(C$33+C$32-C$31),"",GammaSelfNext(C$29,INDIRECT(C$26&amp;"!A"&amp;ROW()-C$32+C$31&amp;":F"&amp;ROW()-C$32+C$31),C471))</f>
        <v/>
      </c>
      <c r="D472" t="e">
        <f t="shared" ca="1" si="16"/>
        <v>#N/A</v>
      </c>
      <c r="E472" t="e">
        <f t="shared" ca="1" si="17"/>
        <v>#N/A</v>
      </c>
    </row>
    <row r="473" spans="1:5" x14ac:dyDescent="0.3">
      <c r="A473" t="str" cm="1">
        <f t="array" aca="1" ref="A473" ca="1">IF(OR(INDIRECT($C$26&amp;"!B"&amp;(ROW()-$C$32+$C$31))="",$C$1="M2"),"",1+ROW(A473)-$C$32)</f>
        <v/>
      </c>
      <c r="B473" t="str" cm="1">
        <f t="array" aca="1" ref="B473" ca="1">IF(OR(INDIRECT(C$26&amp;"!B"&amp;(ROW()-C$32+C$31))="",$C$1="M2"),"",1+ROW(B473)-C$32)</f>
        <v/>
      </c>
      <c r="C473" t="str" cm="1">
        <f t="array" aca="1" ref="C473" ca="1">IF(ROW()&gt;(C$33+C$32-C$31),"",GammaSelfNext(C$29,INDIRECT(C$26&amp;"!A"&amp;ROW()-C$32+C$31&amp;":F"&amp;ROW()-C$32+C$31),C472))</f>
        <v/>
      </c>
      <c r="D473" t="e">
        <f t="shared" ca="1" si="16"/>
        <v>#N/A</v>
      </c>
      <c r="E473" t="e">
        <f t="shared" ca="1" si="17"/>
        <v>#N/A</v>
      </c>
    </row>
    <row r="474" spans="1:5" x14ac:dyDescent="0.3">
      <c r="A474" t="str" cm="1">
        <f t="array" aca="1" ref="A474" ca="1">IF(OR(INDIRECT($C$26&amp;"!B"&amp;(ROW()-$C$32+$C$31))="",$C$1="M2"),"",1+ROW(A474)-$C$32)</f>
        <v/>
      </c>
      <c r="B474" t="str" cm="1">
        <f t="array" aca="1" ref="B474" ca="1">IF(OR(INDIRECT(C$26&amp;"!B"&amp;(ROW()-C$32+C$31))="",$C$1="M2"),"",1+ROW(B474)-C$32)</f>
        <v/>
      </c>
      <c r="C474" t="str" cm="1">
        <f t="array" aca="1" ref="C474" ca="1">IF(ROW()&gt;(C$33+C$32-C$31),"",GammaSelfNext(C$29,INDIRECT(C$26&amp;"!A"&amp;ROW()-C$32+C$31&amp;":F"&amp;ROW()-C$32+C$31),C473))</f>
        <v/>
      </c>
      <c r="D474" t="e">
        <f t="shared" ca="1" si="16"/>
        <v>#N/A</v>
      </c>
      <c r="E474" t="e">
        <f t="shared" ca="1" si="17"/>
        <v>#N/A</v>
      </c>
    </row>
    <row r="475" spans="1:5" x14ac:dyDescent="0.3">
      <c r="A475" t="str" cm="1">
        <f t="array" aca="1" ref="A475" ca="1">IF(OR(INDIRECT($C$26&amp;"!B"&amp;(ROW()-$C$32+$C$31))="",$C$1="M2"),"",1+ROW(A475)-$C$32)</f>
        <v/>
      </c>
      <c r="B475" t="str" cm="1">
        <f t="array" aca="1" ref="B475" ca="1">IF(OR(INDIRECT(C$26&amp;"!B"&amp;(ROW()-C$32+C$31))="",$C$1="M2"),"",1+ROW(B475)-C$32)</f>
        <v/>
      </c>
      <c r="C475" t="str" cm="1">
        <f t="array" aca="1" ref="C475" ca="1">IF(ROW()&gt;(C$33+C$32-C$31),"",GammaSelfNext(C$29,INDIRECT(C$26&amp;"!A"&amp;ROW()-C$32+C$31&amp;":F"&amp;ROW()-C$32+C$31),C474))</f>
        <v/>
      </c>
      <c r="D475" t="e">
        <f t="shared" ca="1" si="16"/>
        <v>#N/A</v>
      </c>
      <c r="E475" t="e">
        <f t="shared" ca="1" si="17"/>
        <v>#N/A</v>
      </c>
    </row>
    <row r="476" spans="1:5" x14ac:dyDescent="0.3">
      <c r="A476" t="str" cm="1">
        <f t="array" aca="1" ref="A476" ca="1">IF(OR(INDIRECT($C$26&amp;"!B"&amp;(ROW()-$C$32+$C$31))="",$C$1="M2"),"",1+ROW(A476)-$C$32)</f>
        <v/>
      </c>
      <c r="B476" t="str" cm="1">
        <f t="array" aca="1" ref="B476" ca="1">IF(OR(INDIRECT(C$26&amp;"!B"&amp;(ROW()-C$32+C$31))="",$C$1="M2"),"",1+ROW(B476)-C$32)</f>
        <v/>
      </c>
      <c r="C476" t="str" cm="1">
        <f t="array" aca="1" ref="C476" ca="1">IF(ROW()&gt;(C$33+C$32-C$31),"",GammaSelfNext(C$29,INDIRECT(C$26&amp;"!A"&amp;ROW()-C$32+C$31&amp;":F"&amp;ROW()-C$32+C$31),C475))</f>
        <v/>
      </c>
      <c r="D476" t="e">
        <f t="shared" ca="1" si="16"/>
        <v>#N/A</v>
      </c>
      <c r="E476" t="e">
        <f t="shared" ca="1" si="17"/>
        <v>#N/A</v>
      </c>
    </row>
    <row r="477" spans="1:5" x14ac:dyDescent="0.3">
      <c r="A477" t="str" cm="1">
        <f t="array" aca="1" ref="A477" ca="1">IF(OR(INDIRECT($C$26&amp;"!B"&amp;(ROW()-$C$32+$C$31))="",$C$1="M2"),"",1+ROW(A477)-$C$32)</f>
        <v/>
      </c>
      <c r="B477" t="str" cm="1">
        <f t="array" aca="1" ref="B477" ca="1">IF(OR(INDIRECT(C$26&amp;"!B"&amp;(ROW()-C$32+C$31))="",$C$1="M2"),"",1+ROW(B477)-C$32)</f>
        <v/>
      </c>
      <c r="C477" t="str" cm="1">
        <f t="array" aca="1" ref="C477" ca="1">IF(ROW()&gt;(C$33+C$32-C$31),"",GammaSelfNext(C$29,INDIRECT(C$26&amp;"!A"&amp;ROW()-C$32+C$31&amp;":F"&amp;ROW()-C$32+C$31),C476))</f>
        <v/>
      </c>
      <c r="D477" t="e">
        <f t="shared" ca="1" si="16"/>
        <v>#N/A</v>
      </c>
      <c r="E477" t="e">
        <f t="shared" ca="1" si="17"/>
        <v>#N/A</v>
      </c>
    </row>
    <row r="478" spans="1:5" x14ac:dyDescent="0.3">
      <c r="A478" t="str" cm="1">
        <f t="array" aca="1" ref="A478" ca="1">IF(OR(INDIRECT($C$26&amp;"!B"&amp;(ROW()-$C$32+$C$31))="",$C$1="M2"),"",1+ROW(A478)-$C$32)</f>
        <v/>
      </c>
      <c r="B478" t="str" cm="1">
        <f t="array" aca="1" ref="B478" ca="1">IF(OR(INDIRECT(C$26&amp;"!B"&amp;(ROW()-C$32+C$31))="",$C$1="M2"),"",1+ROW(B478)-C$32)</f>
        <v/>
      </c>
      <c r="C478" t="str" cm="1">
        <f t="array" aca="1" ref="C478" ca="1">IF(ROW()&gt;(C$33+C$32-C$31),"",GammaSelfNext(C$29,INDIRECT(C$26&amp;"!A"&amp;ROW()-C$32+C$31&amp;":F"&amp;ROW()-C$32+C$31),C477))</f>
        <v/>
      </c>
      <c r="D478" t="e">
        <f t="shared" ca="1" si="16"/>
        <v>#N/A</v>
      </c>
      <c r="E478" t="e">
        <f t="shared" ca="1" si="17"/>
        <v>#N/A</v>
      </c>
    </row>
    <row r="479" spans="1:5" x14ac:dyDescent="0.3">
      <c r="A479" t="str" cm="1">
        <f t="array" aca="1" ref="A479" ca="1">IF(OR(INDIRECT($C$26&amp;"!B"&amp;(ROW()-$C$32+$C$31))="",$C$1="M2"),"",1+ROW(A479)-$C$32)</f>
        <v/>
      </c>
      <c r="B479" t="str" cm="1">
        <f t="array" aca="1" ref="B479" ca="1">IF(OR(INDIRECT(C$26&amp;"!B"&amp;(ROW()-C$32+C$31))="",$C$1="M2"),"",1+ROW(B479)-C$32)</f>
        <v/>
      </c>
      <c r="C479" t="str" cm="1">
        <f t="array" aca="1" ref="C479" ca="1">IF(ROW()&gt;(C$33+C$32-C$31),"",GammaSelfNext(C$29,INDIRECT(C$26&amp;"!A"&amp;ROW()-C$32+C$31&amp;":F"&amp;ROW()-C$32+C$31),C478))</f>
        <v/>
      </c>
      <c r="D479" t="e">
        <f t="shared" ca="1" si="16"/>
        <v>#N/A</v>
      </c>
      <c r="E479" t="e">
        <f t="shared" ca="1" si="17"/>
        <v>#N/A</v>
      </c>
    </row>
    <row r="480" spans="1:5" x14ac:dyDescent="0.3">
      <c r="A480" t="str" cm="1">
        <f t="array" aca="1" ref="A480" ca="1">IF(OR(INDIRECT($C$26&amp;"!B"&amp;(ROW()-$C$32+$C$31))="",$C$1="M2"),"",1+ROW(A480)-$C$32)</f>
        <v/>
      </c>
      <c r="B480" t="str" cm="1">
        <f t="array" aca="1" ref="B480" ca="1">IF(OR(INDIRECT(C$26&amp;"!B"&amp;(ROW()-C$32+C$31))="",$C$1="M2"),"",1+ROW(B480)-C$32)</f>
        <v/>
      </c>
      <c r="C480" t="str" cm="1">
        <f t="array" aca="1" ref="C480" ca="1">IF(ROW()&gt;(C$33+C$32-C$31),"",GammaSelfNext(C$29,INDIRECT(C$26&amp;"!A"&amp;ROW()-C$32+C$31&amp;":F"&amp;ROW()-C$32+C$31),C479))</f>
        <v/>
      </c>
      <c r="D480" t="e">
        <f t="shared" ca="1" si="16"/>
        <v>#N/A</v>
      </c>
      <c r="E480" t="e">
        <f t="shared" ca="1" si="17"/>
        <v>#N/A</v>
      </c>
    </row>
    <row r="481" spans="1:5" x14ac:dyDescent="0.3">
      <c r="A481" t="str" cm="1">
        <f t="array" aca="1" ref="A481" ca="1">IF(OR(INDIRECT($C$26&amp;"!B"&amp;(ROW()-$C$32+$C$31))="",$C$1="M2"),"",1+ROW(A481)-$C$32)</f>
        <v/>
      </c>
      <c r="B481" t="str" cm="1">
        <f t="array" aca="1" ref="B481" ca="1">IF(OR(INDIRECT(C$26&amp;"!B"&amp;(ROW()-C$32+C$31))="",$C$1="M2"),"",1+ROW(B481)-C$32)</f>
        <v/>
      </c>
      <c r="C481" t="str" cm="1">
        <f t="array" aca="1" ref="C481" ca="1">IF(ROW()&gt;(C$33+C$32-C$31),"",GammaSelfNext(C$29,INDIRECT(C$26&amp;"!A"&amp;ROW()-C$32+C$31&amp;":F"&amp;ROW()-C$32+C$31),C480))</f>
        <v/>
      </c>
      <c r="D481" t="e">
        <f t="shared" ca="1" si="16"/>
        <v>#N/A</v>
      </c>
      <c r="E481" t="e">
        <f t="shared" ca="1" si="17"/>
        <v>#N/A</v>
      </c>
    </row>
    <row r="482" spans="1:5" x14ac:dyDescent="0.3">
      <c r="A482" t="str" cm="1">
        <f t="array" aca="1" ref="A482" ca="1">IF(OR(INDIRECT($C$26&amp;"!B"&amp;(ROW()-$C$32+$C$31))="",$C$1="M2"),"",1+ROW(A482)-$C$32)</f>
        <v/>
      </c>
      <c r="B482" t="str" cm="1">
        <f t="array" aca="1" ref="B482" ca="1">IF(OR(INDIRECT(C$26&amp;"!B"&amp;(ROW()-C$32+C$31))="",$C$1="M2"),"",1+ROW(B482)-C$32)</f>
        <v/>
      </c>
      <c r="C482" t="str" cm="1">
        <f t="array" aca="1" ref="C482" ca="1">IF(ROW()&gt;(C$33+C$32-C$31),"",GammaSelfNext(C$29,INDIRECT(C$26&amp;"!A"&amp;ROW()-C$32+C$31&amp;":F"&amp;ROW()-C$32+C$31),C481))</f>
        <v/>
      </c>
      <c r="D482" t="e">
        <f t="shared" ca="1" si="16"/>
        <v>#N/A</v>
      </c>
      <c r="E482" t="e">
        <f t="shared" ca="1" si="17"/>
        <v>#N/A</v>
      </c>
    </row>
    <row r="483" spans="1:5" x14ac:dyDescent="0.3">
      <c r="A483" t="str" cm="1">
        <f t="array" aca="1" ref="A483" ca="1">IF(OR(INDIRECT($C$26&amp;"!B"&amp;(ROW()-$C$32+$C$31))="",$C$1="M2"),"",1+ROW(A483)-$C$32)</f>
        <v/>
      </c>
      <c r="B483" t="str" cm="1">
        <f t="array" aca="1" ref="B483" ca="1">IF(OR(INDIRECT(C$26&amp;"!B"&amp;(ROW()-C$32+C$31))="",$C$1="M2"),"",1+ROW(B483)-C$32)</f>
        <v/>
      </c>
      <c r="C483" t="str" cm="1">
        <f t="array" aca="1" ref="C483" ca="1">IF(ROW()&gt;(C$33+C$32-C$31),"",GammaSelfNext(C$29,INDIRECT(C$26&amp;"!A"&amp;ROW()-C$32+C$31&amp;":F"&amp;ROW()-C$32+C$31),C482))</f>
        <v/>
      </c>
      <c r="D483" t="e">
        <f t="shared" ca="1" si="16"/>
        <v>#N/A</v>
      </c>
      <c r="E483" t="e">
        <f t="shared" ca="1" si="17"/>
        <v>#N/A</v>
      </c>
    </row>
    <row r="484" spans="1:5" x14ac:dyDescent="0.3">
      <c r="A484" t="str" cm="1">
        <f t="array" aca="1" ref="A484" ca="1">IF(OR(INDIRECT($C$26&amp;"!B"&amp;(ROW()-$C$32+$C$31))="",$C$1="M2"),"",1+ROW(A484)-$C$32)</f>
        <v/>
      </c>
      <c r="B484" t="str" cm="1">
        <f t="array" aca="1" ref="B484" ca="1">IF(OR(INDIRECT(C$26&amp;"!B"&amp;(ROW()-C$32+C$31))="",$C$1="M2"),"",1+ROW(B484)-C$32)</f>
        <v/>
      </c>
      <c r="C484" t="str" cm="1">
        <f t="array" aca="1" ref="C484" ca="1">IF(ROW()&gt;(C$33+C$32-C$31),"",GammaSelfNext(C$29,INDIRECT(C$26&amp;"!A"&amp;ROW()-C$32+C$31&amp;":F"&amp;ROW()-C$32+C$31),C483))</f>
        <v/>
      </c>
      <c r="D484" t="e">
        <f t="shared" ca="1" si="16"/>
        <v>#N/A</v>
      </c>
      <c r="E484" t="e">
        <f t="shared" ca="1" si="17"/>
        <v>#N/A</v>
      </c>
    </row>
    <row r="485" spans="1:5" x14ac:dyDescent="0.3">
      <c r="A485" t="str" cm="1">
        <f t="array" aca="1" ref="A485" ca="1">IF(OR(INDIRECT($C$26&amp;"!B"&amp;(ROW()-$C$32+$C$31))="",$C$1="M2"),"",1+ROW(A485)-$C$32)</f>
        <v/>
      </c>
      <c r="B485" t="str" cm="1">
        <f t="array" aca="1" ref="B485" ca="1">IF(OR(INDIRECT(C$26&amp;"!B"&amp;(ROW()-C$32+C$31))="",$C$1="M2"),"",1+ROW(B485)-C$32)</f>
        <v/>
      </c>
      <c r="C485" t="str" cm="1">
        <f t="array" aca="1" ref="C485" ca="1">IF(ROW()&gt;(C$33+C$32-C$31),"",GammaSelfNext(C$29,INDIRECT(C$26&amp;"!A"&amp;ROW()-C$32+C$31&amp;":F"&amp;ROW()-C$32+C$31),C484))</f>
        <v/>
      </c>
      <c r="D485" t="e">
        <f t="shared" ca="1" si="16"/>
        <v>#N/A</v>
      </c>
      <c r="E485" t="e">
        <f t="shared" ca="1" si="17"/>
        <v>#N/A</v>
      </c>
    </row>
    <row r="486" spans="1:5" x14ac:dyDescent="0.3">
      <c r="A486" t="str" cm="1">
        <f t="array" aca="1" ref="A486" ca="1">IF(OR(INDIRECT($C$26&amp;"!B"&amp;(ROW()-$C$32+$C$31))="",$C$1="M2"),"",1+ROW(A486)-$C$32)</f>
        <v/>
      </c>
      <c r="B486" t="str" cm="1">
        <f t="array" aca="1" ref="B486" ca="1">IF(OR(INDIRECT(C$26&amp;"!B"&amp;(ROW()-C$32+C$31))="",$C$1="M2"),"",1+ROW(B486)-C$32)</f>
        <v/>
      </c>
      <c r="C486" t="str" cm="1">
        <f t="array" aca="1" ref="C486" ca="1">IF(ROW()&gt;(C$33+C$32-C$31),"",GammaSelfNext(C$29,INDIRECT(C$26&amp;"!A"&amp;ROW()-C$32+C$31&amp;":F"&amp;ROW()-C$32+C$31),C485))</f>
        <v/>
      </c>
      <c r="D486" t="e">
        <f t="shared" ca="1" si="16"/>
        <v>#N/A</v>
      </c>
      <c r="E486" t="e">
        <f t="shared" ca="1" si="17"/>
        <v>#N/A</v>
      </c>
    </row>
    <row r="487" spans="1:5" x14ac:dyDescent="0.3">
      <c r="A487" t="str" cm="1">
        <f t="array" aca="1" ref="A487" ca="1">IF(OR(INDIRECT($C$26&amp;"!B"&amp;(ROW()-$C$32+$C$31))="",$C$1="M2"),"",1+ROW(A487)-$C$32)</f>
        <v/>
      </c>
      <c r="B487" t="str" cm="1">
        <f t="array" aca="1" ref="B487" ca="1">IF(OR(INDIRECT(C$26&amp;"!B"&amp;(ROW()-C$32+C$31))="",$C$1="M2"),"",1+ROW(B487)-C$32)</f>
        <v/>
      </c>
      <c r="C487" t="str" cm="1">
        <f t="array" aca="1" ref="C487" ca="1">IF(ROW()&gt;(C$33+C$32-C$31),"",GammaSelfNext(C$29,INDIRECT(C$26&amp;"!A"&amp;ROW()-C$32+C$31&amp;":F"&amp;ROW()-C$32+C$31),C486))</f>
        <v/>
      </c>
      <c r="D487" t="e">
        <f t="shared" ca="1" si="16"/>
        <v>#N/A</v>
      </c>
      <c r="E487" t="e">
        <f t="shared" ca="1" si="17"/>
        <v>#N/A</v>
      </c>
    </row>
    <row r="488" spans="1:5" x14ac:dyDescent="0.3">
      <c r="A488" t="str" cm="1">
        <f t="array" aca="1" ref="A488" ca="1">IF(OR(INDIRECT($C$26&amp;"!B"&amp;(ROW()-$C$32+$C$31))="",$C$1="M2"),"",1+ROW(A488)-$C$32)</f>
        <v/>
      </c>
      <c r="B488" t="str" cm="1">
        <f t="array" aca="1" ref="B488" ca="1">IF(OR(INDIRECT(C$26&amp;"!B"&amp;(ROW()-C$32+C$31))="",$C$1="M2"),"",1+ROW(B488)-C$32)</f>
        <v/>
      </c>
      <c r="C488" t="str" cm="1">
        <f t="array" aca="1" ref="C488" ca="1">IF(ROW()&gt;(C$33+C$32-C$31),"",GammaSelfNext(C$29,INDIRECT(C$26&amp;"!A"&amp;ROW()-C$32+C$31&amp;":F"&amp;ROW()-C$32+C$31),C487))</f>
        <v/>
      </c>
      <c r="D488" t="e">
        <f t="shared" ca="1" si="16"/>
        <v>#N/A</v>
      </c>
      <c r="E488" t="e">
        <f t="shared" ca="1" si="17"/>
        <v>#N/A</v>
      </c>
    </row>
    <row r="489" spans="1:5" x14ac:dyDescent="0.3">
      <c r="A489" t="str" cm="1">
        <f t="array" aca="1" ref="A489" ca="1">IF(OR(INDIRECT($C$26&amp;"!B"&amp;(ROW()-$C$32+$C$31))="",$C$1="M2"),"",1+ROW(A489)-$C$32)</f>
        <v/>
      </c>
      <c r="B489" t="str" cm="1">
        <f t="array" aca="1" ref="B489" ca="1">IF(OR(INDIRECT(C$26&amp;"!B"&amp;(ROW()-C$32+C$31))="",$C$1="M2"),"",1+ROW(B489)-C$32)</f>
        <v/>
      </c>
      <c r="C489" t="str" cm="1">
        <f t="array" aca="1" ref="C489" ca="1">IF(ROW()&gt;(C$33+C$32-C$31),"",GammaSelfNext(C$29,INDIRECT(C$26&amp;"!A"&amp;ROW()-C$32+C$31&amp;":F"&amp;ROW()-C$32+C$31),C488))</f>
        <v/>
      </c>
      <c r="D489" t="e">
        <f t="shared" ref="D489:D534" ca="1" si="18">IF(C489="",NA(),IMREAL(C489))</f>
        <v>#N/A</v>
      </c>
      <c r="E489" t="e">
        <f t="shared" ref="E489:E534" ca="1" si="19">IF(C489="",NA(),IMAGINARY(C489))</f>
        <v>#N/A</v>
      </c>
    </row>
    <row r="490" spans="1:5" x14ac:dyDescent="0.3">
      <c r="A490" t="str" cm="1">
        <f t="array" aca="1" ref="A490" ca="1">IF(OR(INDIRECT($C$26&amp;"!B"&amp;(ROW()-$C$32+$C$31))="",$C$1="M2"),"",1+ROW(A490)-$C$32)</f>
        <v/>
      </c>
      <c r="B490" t="str" cm="1">
        <f t="array" aca="1" ref="B490" ca="1">IF(OR(INDIRECT(C$26&amp;"!B"&amp;(ROW()-C$32+C$31))="",$C$1="M2"),"",1+ROW(B490)-C$32)</f>
        <v/>
      </c>
      <c r="C490" t="str" cm="1">
        <f t="array" aca="1" ref="C490" ca="1">IF(ROW()&gt;(C$33+C$32-C$31),"",GammaSelfNext(C$29,INDIRECT(C$26&amp;"!A"&amp;ROW()-C$32+C$31&amp;":F"&amp;ROW()-C$32+C$31),C489))</f>
        <v/>
      </c>
      <c r="D490" t="e">
        <f t="shared" ca="1" si="18"/>
        <v>#N/A</v>
      </c>
      <c r="E490" t="e">
        <f t="shared" ca="1" si="19"/>
        <v>#N/A</v>
      </c>
    </row>
    <row r="491" spans="1:5" x14ac:dyDescent="0.3">
      <c r="A491" t="str" cm="1">
        <f t="array" aca="1" ref="A491" ca="1">IF(OR(INDIRECT($C$26&amp;"!B"&amp;(ROW()-$C$32+$C$31))="",$C$1="M2"),"",1+ROW(A491)-$C$32)</f>
        <v/>
      </c>
      <c r="B491" t="str" cm="1">
        <f t="array" aca="1" ref="B491" ca="1">IF(OR(INDIRECT(C$26&amp;"!B"&amp;(ROW()-C$32+C$31))="",$C$1="M2"),"",1+ROW(B491)-C$32)</f>
        <v/>
      </c>
      <c r="C491" t="str" cm="1">
        <f t="array" aca="1" ref="C491" ca="1">IF(ROW()&gt;(C$33+C$32-C$31),"",GammaSelfNext(C$29,INDIRECT(C$26&amp;"!A"&amp;ROW()-C$32+C$31&amp;":F"&amp;ROW()-C$32+C$31),C490))</f>
        <v/>
      </c>
      <c r="D491" t="e">
        <f t="shared" ca="1" si="18"/>
        <v>#N/A</v>
      </c>
      <c r="E491" t="e">
        <f t="shared" ca="1" si="19"/>
        <v>#N/A</v>
      </c>
    </row>
    <row r="492" spans="1:5" x14ac:dyDescent="0.3">
      <c r="A492" t="str" cm="1">
        <f t="array" aca="1" ref="A492" ca="1">IF(OR(INDIRECT($C$26&amp;"!B"&amp;(ROW()-$C$32+$C$31))="",$C$1="M2"),"",1+ROW(A492)-$C$32)</f>
        <v/>
      </c>
      <c r="B492" t="str" cm="1">
        <f t="array" aca="1" ref="B492" ca="1">IF(OR(INDIRECT(C$26&amp;"!B"&amp;(ROW()-C$32+C$31))="",$C$1="M2"),"",1+ROW(B492)-C$32)</f>
        <v/>
      </c>
      <c r="C492" t="str" cm="1">
        <f t="array" aca="1" ref="C492" ca="1">IF(ROW()&gt;(C$33+C$32-C$31),"",GammaSelfNext(C$29,INDIRECT(C$26&amp;"!A"&amp;ROW()-C$32+C$31&amp;":F"&amp;ROW()-C$32+C$31),C491))</f>
        <v/>
      </c>
      <c r="D492" t="e">
        <f t="shared" ca="1" si="18"/>
        <v>#N/A</v>
      </c>
      <c r="E492" t="e">
        <f t="shared" ca="1" si="19"/>
        <v>#N/A</v>
      </c>
    </row>
    <row r="493" spans="1:5" x14ac:dyDescent="0.3">
      <c r="A493" t="str" cm="1">
        <f t="array" aca="1" ref="A493" ca="1">IF(OR(INDIRECT($C$26&amp;"!B"&amp;(ROW()-$C$32+$C$31))="",$C$1="M2"),"",1+ROW(A493)-$C$32)</f>
        <v/>
      </c>
      <c r="B493" t="str" cm="1">
        <f t="array" aca="1" ref="B493" ca="1">IF(OR(INDIRECT(C$26&amp;"!B"&amp;(ROW()-C$32+C$31))="",$C$1="M2"),"",1+ROW(B493)-C$32)</f>
        <v/>
      </c>
      <c r="C493" t="str" cm="1">
        <f t="array" aca="1" ref="C493" ca="1">IF(ROW()&gt;(C$33+C$32-C$31),"",GammaSelfNext(C$29,INDIRECT(C$26&amp;"!A"&amp;ROW()-C$32+C$31&amp;":F"&amp;ROW()-C$32+C$31),C492))</f>
        <v/>
      </c>
      <c r="D493" t="e">
        <f t="shared" ca="1" si="18"/>
        <v>#N/A</v>
      </c>
      <c r="E493" t="e">
        <f t="shared" ca="1" si="19"/>
        <v>#N/A</v>
      </c>
    </row>
    <row r="494" spans="1:5" x14ac:dyDescent="0.3">
      <c r="A494" t="str" cm="1">
        <f t="array" aca="1" ref="A494" ca="1">IF(OR(INDIRECT($C$26&amp;"!B"&amp;(ROW()-$C$32+$C$31))="",$C$1="M2"),"",1+ROW(A494)-$C$32)</f>
        <v/>
      </c>
      <c r="B494" t="str" cm="1">
        <f t="array" aca="1" ref="B494" ca="1">IF(OR(INDIRECT(C$26&amp;"!B"&amp;(ROW()-C$32+C$31))="",$C$1="M2"),"",1+ROW(B494)-C$32)</f>
        <v/>
      </c>
      <c r="C494" t="str" cm="1">
        <f t="array" aca="1" ref="C494" ca="1">IF(ROW()&gt;(C$33+C$32-C$31),"",GammaSelfNext(C$29,INDIRECT(C$26&amp;"!A"&amp;ROW()-C$32+C$31&amp;":F"&amp;ROW()-C$32+C$31),C493))</f>
        <v/>
      </c>
      <c r="D494" t="e">
        <f t="shared" ca="1" si="18"/>
        <v>#N/A</v>
      </c>
      <c r="E494" t="e">
        <f t="shared" ca="1" si="19"/>
        <v>#N/A</v>
      </c>
    </row>
    <row r="495" spans="1:5" x14ac:dyDescent="0.3">
      <c r="A495" t="str" cm="1">
        <f t="array" aca="1" ref="A495" ca="1">IF(OR(INDIRECT($C$26&amp;"!B"&amp;(ROW()-$C$32+$C$31))="",$C$1="M2"),"",1+ROW(A495)-$C$32)</f>
        <v/>
      </c>
      <c r="B495" t="str" cm="1">
        <f t="array" aca="1" ref="B495" ca="1">IF(OR(INDIRECT(C$26&amp;"!B"&amp;(ROW()-C$32+C$31))="",$C$1="M2"),"",1+ROW(B495)-C$32)</f>
        <v/>
      </c>
      <c r="C495" t="str" cm="1">
        <f t="array" aca="1" ref="C495" ca="1">IF(ROW()&gt;(C$33+C$32-C$31),"",GammaSelfNext(C$29,INDIRECT(C$26&amp;"!A"&amp;ROW()-C$32+C$31&amp;":F"&amp;ROW()-C$32+C$31),C494))</f>
        <v/>
      </c>
      <c r="D495" t="e">
        <f t="shared" ca="1" si="18"/>
        <v>#N/A</v>
      </c>
      <c r="E495" t="e">
        <f t="shared" ca="1" si="19"/>
        <v>#N/A</v>
      </c>
    </row>
    <row r="496" spans="1:5" x14ac:dyDescent="0.3">
      <c r="A496" t="str" cm="1">
        <f t="array" aca="1" ref="A496" ca="1">IF(OR(INDIRECT($C$26&amp;"!B"&amp;(ROW()-$C$32+$C$31))="",$C$1="M2"),"",1+ROW(A496)-$C$32)</f>
        <v/>
      </c>
      <c r="B496" t="str" cm="1">
        <f t="array" aca="1" ref="B496" ca="1">IF(OR(INDIRECT(C$26&amp;"!B"&amp;(ROW()-C$32+C$31))="",$C$1="M2"),"",1+ROW(B496)-C$32)</f>
        <v/>
      </c>
      <c r="C496" t="str" cm="1">
        <f t="array" aca="1" ref="C496" ca="1">IF(ROW()&gt;(C$33+C$32-C$31),"",GammaSelfNext(C$29,INDIRECT(C$26&amp;"!A"&amp;ROW()-C$32+C$31&amp;":F"&amp;ROW()-C$32+C$31),C495))</f>
        <v/>
      </c>
      <c r="D496" t="e">
        <f t="shared" ca="1" si="18"/>
        <v>#N/A</v>
      </c>
      <c r="E496" t="e">
        <f t="shared" ca="1" si="19"/>
        <v>#N/A</v>
      </c>
    </row>
    <row r="497" spans="1:5" x14ac:dyDescent="0.3">
      <c r="A497" t="str" cm="1">
        <f t="array" aca="1" ref="A497" ca="1">IF(OR(INDIRECT($C$26&amp;"!B"&amp;(ROW()-$C$32+$C$31))="",$C$1="M2"),"",1+ROW(A497)-$C$32)</f>
        <v/>
      </c>
      <c r="B497" t="str" cm="1">
        <f t="array" aca="1" ref="B497" ca="1">IF(OR(INDIRECT(C$26&amp;"!B"&amp;(ROW()-C$32+C$31))="",$C$1="M2"),"",1+ROW(B497)-C$32)</f>
        <v/>
      </c>
      <c r="C497" t="str" cm="1">
        <f t="array" aca="1" ref="C497" ca="1">IF(ROW()&gt;(C$33+C$32-C$31),"",GammaSelfNext(C$29,INDIRECT(C$26&amp;"!A"&amp;ROW()-C$32+C$31&amp;":F"&amp;ROW()-C$32+C$31),C496))</f>
        <v/>
      </c>
      <c r="D497" t="e">
        <f t="shared" ca="1" si="18"/>
        <v>#N/A</v>
      </c>
      <c r="E497" t="e">
        <f t="shared" ca="1" si="19"/>
        <v>#N/A</v>
      </c>
    </row>
    <row r="498" spans="1:5" x14ac:dyDescent="0.3">
      <c r="A498" t="str" cm="1">
        <f t="array" aca="1" ref="A498" ca="1">IF(OR(INDIRECT($C$26&amp;"!B"&amp;(ROW()-$C$32+$C$31))="",$C$1="M2"),"",1+ROW(A498)-$C$32)</f>
        <v/>
      </c>
      <c r="B498" t="str" cm="1">
        <f t="array" aca="1" ref="B498" ca="1">IF(OR(INDIRECT(C$26&amp;"!B"&amp;(ROW()-C$32+C$31))="",$C$1="M2"),"",1+ROW(B498)-C$32)</f>
        <v/>
      </c>
      <c r="C498" t="str" cm="1">
        <f t="array" aca="1" ref="C498" ca="1">IF(ROW()&gt;(C$33+C$32-C$31),"",GammaSelfNext(C$29,INDIRECT(C$26&amp;"!A"&amp;ROW()-C$32+C$31&amp;":F"&amp;ROW()-C$32+C$31),C497))</f>
        <v/>
      </c>
      <c r="D498" t="e">
        <f t="shared" ca="1" si="18"/>
        <v>#N/A</v>
      </c>
      <c r="E498" t="e">
        <f t="shared" ca="1" si="19"/>
        <v>#N/A</v>
      </c>
    </row>
    <row r="499" spans="1:5" x14ac:dyDescent="0.3">
      <c r="A499" t="str" cm="1">
        <f t="array" aca="1" ref="A499" ca="1">IF(OR(INDIRECT($C$26&amp;"!B"&amp;(ROW()-$C$32+$C$31))="",$C$1="M2"),"",1+ROW(A499)-$C$32)</f>
        <v/>
      </c>
      <c r="B499" t="str" cm="1">
        <f t="array" aca="1" ref="B499" ca="1">IF(OR(INDIRECT(C$26&amp;"!B"&amp;(ROW()-C$32+C$31))="",$C$1="M2"),"",1+ROW(B499)-C$32)</f>
        <v/>
      </c>
      <c r="C499" t="str" cm="1">
        <f t="array" aca="1" ref="C499" ca="1">IF(ROW()&gt;(C$33+C$32-C$31),"",GammaSelfNext(C$29,INDIRECT(C$26&amp;"!A"&amp;ROW()-C$32+C$31&amp;":F"&amp;ROW()-C$32+C$31),C498))</f>
        <v/>
      </c>
      <c r="D499" t="e">
        <f t="shared" ca="1" si="18"/>
        <v>#N/A</v>
      </c>
      <c r="E499" t="e">
        <f t="shared" ca="1" si="19"/>
        <v>#N/A</v>
      </c>
    </row>
    <row r="500" spans="1:5" x14ac:dyDescent="0.3">
      <c r="A500" t="str" cm="1">
        <f t="array" aca="1" ref="A500" ca="1">IF(OR(INDIRECT($C$26&amp;"!B"&amp;(ROW()-$C$32+$C$31))="",$C$1="M2"),"",1+ROW(A500)-$C$32)</f>
        <v/>
      </c>
      <c r="B500" t="str" cm="1">
        <f t="array" aca="1" ref="B500" ca="1">IF(OR(INDIRECT(C$26&amp;"!B"&amp;(ROW()-C$32+C$31))="",$C$1="M2"),"",1+ROW(B500)-C$32)</f>
        <v/>
      </c>
      <c r="C500" t="str" cm="1">
        <f t="array" aca="1" ref="C500" ca="1">IF(ROW()&gt;(C$33+C$32-C$31),"",GammaSelfNext(C$29,INDIRECT(C$26&amp;"!A"&amp;ROW()-C$32+C$31&amp;":F"&amp;ROW()-C$32+C$31),C499))</f>
        <v/>
      </c>
      <c r="D500" t="e">
        <f t="shared" ca="1" si="18"/>
        <v>#N/A</v>
      </c>
      <c r="E500" t="e">
        <f t="shared" ca="1" si="19"/>
        <v>#N/A</v>
      </c>
    </row>
    <row r="501" spans="1:5" x14ac:dyDescent="0.3">
      <c r="A501" t="str" cm="1">
        <f t="array" aca="1" ref="A501" ca="1">IF(OR(INDIRECT($C$26&amp;"!B"&amp;(ROW()-$C$32+$C$31))="",$C$1="M2"),"",1+ROW(A501)-$C$32)</f>
        <v/>
      </c>
      <c r="B501" t="str" cm="1">
        <f t="array" aca="1" ref="B501" ca="1">IF(OR(INDIRECT(C$26&amp;"!B"&amp;(ROW()-C$32+C$31))="",$C$1="M2"),"",1+ROW(B501)-C$32)</f>
        <v/>
      </c>
      <c r="C501" t="str" cm="1">
        <f t="array" aca="1" ref="C501" ca="1">IF(ROW()&gt;(C$33+C$32-C$31),"",GammaSelfNext(C$29,INDIRECT(C$26&amp;"!A"&amp;ROW()-C$32+C$31&amp;":F"&amp;ROW()-C$32+C$31),C500))</f>
        <v/>
      </c>
      <c r="D501" t="e">
        <f t="shared" ca="1" si="18"/>
        <v>#N/A</v>
      </c>
      <c r="E501" t="e">
        <f t="shared" ca="1" si="19"/>
        <v>#N/A</v>
      </c>
    </row>
    <row r="502" spans="1:5" x14ac:dyDescent="0.3">
      <c r="A502" t="str" cm="1">
        <f t="array" aca="1" ref="A502" ca="1">IF(OR(INDIRECT($C$26&amp;"!B"&amp;(ROW()-$C$32+$C$31))="",$C$1="M2"),"",1+ROW(A502)-$C$32)</f>
        <v/>
      </c>
      <c r="B502" t="str" cm="1">
        <f t="array" aca="1" ref="B502" ca="1">IF(OR(INDIRECT(C$26&amp;"!B"&amp;(ROW()-C$32+C$31))="",$C$1="M2"),"",1+ROW(B502)-C$32)</f>
        <v/>
      </c>
      <c r="C502" t="str" cm="1">
        <f t="array" aca="1" ref="C502" ca="1">IF(ROW()&gt;(C$33+C$32-C$31),"",GammaSelfNext(C$29,INDIRECT(C$26&amp;"!A"&amp;ROW()-C$32+C$31&amp;":F"&amp;ROW()-C$32+C$31),C501))</f>
        <v/>
      </c>
      <c r="D502" t="e">
        <f t="shared" ca="1" si="18"/>
        <v>#N/A</v>
      </c>
      <c r="E502" t="e">
        <f t="shared" ca="1" si="19"/>
        <v>#N/A</v>
      </c>
    </row>
    <row r="503" spans="1:5" x14ac:dyDescent="0.3">
      <c r="A503" t="str" cm="1">
        <f t="array" aca="1" ref="A503" ca="1">IF(OR(INDIRECT($C$26&amp;"!B"&amp;(ROW()-$C$32+$C$31))="",$C$1="M2"),"",1+ROW(A503)-$C$32)</f>
        <v/>
      </c>
      <c r="B503" t="str" cm="1">
        <f t="array" aca="1" ref="B503" ca="1">IF(OR(INDIRECT(C$26&amp;"!B"&amp;(ROW()-C$32+C$31))="",$C$1="M2"),"",1+ROW(B503)-C$32)</f>
        <v/>
      </c>
      <c r="C503" t="str" cm="1">
        <f t="array" aca="1" ref="C503" ca="1">IF(ROW()&gt;(C$33+C$32-C$31),"",GammaSelfNext(C$29,INDIRECT(C$26&amp;"!A"&amp;ROW()-C$32+C$31&amp;":F"&amp;ROW()-C$32+C$31),C502))</f>
        <v/>
      </c>
      <c r="D503" t="e">
        <f t="shared" ca="1" si="18"/>
        <v>#N/A</v>
      </c>
      <c r="E503" t="e">
        <f t="shared" ca="1" si="19"/>
        <v>#N/A</v>
      </c>
    </row>
    <row r="504" spans="1:5" x14ac:dyDescent="0.3">
      <c r="A504" t="str" cm="1">
        <f t="array" aca="1" ref="A504" ca="1">IF(OR(INDIRECT($C$26&amp;"!B"&amp;(ROW()-$C$32+$C$31))="",$C$1="M2"),"",1+ROW(A504)-$C$32)</f>
        <v/>
      </c>
      <c r="B504" t="str" cm="1">
        <f t="array" aca="1" ref="B504" ca="1">IF(OR(INDIRECT(C$26&amp;"!B"&amp;(ROW()-C$32+C$31))="",$C$1="M2"),"",1+ROW(B504)-C$32)</f>
        <v/>
      </c>
      <c r="C504" t="str" cm="1">
        <f t="array" aca="1" ref="C504" ca="1">IF(ROW()&gt;(C$33+C$32-C$31),"",GammaSelfNext(C$29,INDIRECT(C$26&amp;"!A"&amp;ROW()-C$32+C$31&amp;":F"&amp;ROW()-C$32+C$31),C503))</f>
        <v/>
      </c>
      <c r="D504" t="e">
        <f t="shared" ca="1" si="18"/>
        <v>#N/A</v>
      </c>
      <c r="E504" t="e">
        <f t="shared" ca="1" si="19"/>
        <v>#N/A</v>
      </c>
    </row>
    <row r="505" spans="1:5" x14ac:dyDescent="0.3">
      <c r="A505" t="str" cm="1">
        <f t="array" aca="1" ref="A505" ca="1">IF(OR(INDIRECT($C$26&amp;"!B"&amp;(ROW()-$C$32+$C$31))="",$C$1="M2"),"",1+ROW(A505)-$C$32)</f>
        <v/>
      </c>
      <c r="B505" t="str" cm="1">
        <f t="array" aca="1" ref="B505" ca="1">IF(OR(INDIRECT(C$26&amp;"!B"&amp;(ROW()-C$32+C$31))="",$C$1="M2"),"",1+ROW(B505)-C$32)</f>
        <v/>
      </c>
      <c r="C505" t="str" cm="1">
        <f t="array" aca="1" ref="C505" ca="1">IF(ROW()&gt;(C$33+C$32-C$31),"",GammaSelfNext(C$29,INDIRECT(C$26&amp;"!A"&amp;ROW()-C$32+C$31&amp;":F"&amp;ROW()-C$32+C$31),C504))</f>
        <v/>
      </c>
      <c r="D505" t="e">
        <f t="shared" ca="1" si="18"/>
        <v>#N/A</v>
      </c>
      <c r="E505" t="e">
        <f t="shared" ca="1" si="19"/>
        <v>#N/A</v>
      </c>
    </row>
    <row r="506" spans="1:5" x14ac:dyDescent="0.3">
      <c r="A506" t="str" cm="1">
        <f t="array" aca="1" ref="A506" ca="1">IF(OR(INDIRECT($C$26&amp;"!B"&amp;(ROW()-$C$32+$C$31))="",$C$1="M2"),"",1+ROW(A506)-$C$32)</f>
        <v/>
      </c>
      <c r="B506" t="str" cm="1">
        <f t="array" aca="1" ref="B506" ca="1">IF(OR(INDIRECT(C$26&amp;"!B"&amp;(ROW()-C$32+C$31))="",$C$1="M2"),"",1+ROW(B506)-C$32)</f>
        <v/>
      </c>
      <c r="C506" t="str" cm="1">
        <f t="array" aca="1" ref="C506" ca="1">IF(ROW()&gt;(C$33+C$32-C$31),"",GammaSelfNext(C$29,INDIRECT(C$26&amp;"!A"&amp;ROW()-C$32+C$31&amp;":F"&amp;ROW()-C$32+C$31),C505))</f>
        <v/>
      </c>
      <c r="D506" t="e">
        <f t="shared" ca="1" si="18"/>
        <v>#N/A</v>
      </c>
      <c r="E506" t="e">
        <f t="shared" ca="1" si="19"/>
        <v>#N/A</v>
      </c>
    </row>
    <row r="507" spans="1:5" x14ac:dyDescent="0.3">
      <c r="A507" t="str" cm="1">
        <f t="array" aca="1" ref="A507" ca="1">IF(OR(INDIRECT($C$26&amp;"!B"&amp;(ROW()-$C$32+$C$31))="",$C$1="M2"),"",1+ROW(A507)-$C$32)</f>
        <v/>
      </c>
      <c r="B507" t="str" cm="1">
        <f t="array" aca="1" ref="B507" ca="1">IF(OR(INDIRECT(C$26&amp;"!B"&amp;(ROW()-C$32+C$31))="",$C$1="M2"),"",1+ROW(B507)-C$32)</f>
        <v/>
      </c>
      <c r="C507" t="str" cm="1">
        <f t="array" aca="1" ref="C507" ca="1">IF(ROW()&gt;(C$33+C$32-C$31),"",GammaSelfNext(C$29,INDIRECT(C$26&amp;"!A"&amp;ROW()-C$32+C$31&amp;":F"&amp;ROW()-C$32+C$31),C506))</f>
        <v/>
      </c>
      <c r="D507" t="e">
        <f t="shared" ca="1" si="18"/>
        <v>#N/A</v>
      </c>
      <c r="E507" t="e">
        <f t="shared" ca="1" si="19"/>
        <v>#N/A</v>
      </c>
    </row>
    <row r="508" spans="1:5" x14ac:dyDescent="0.3">
      <c r="A508" t="str" cm="1">
        <f t="array" aca="1" ref="A508" ca="1">IF(OR(INDIRECT($C$26&amp;"!B"&amp;(ROW()-$C$32+$C$31))="",$C$1="M2"),"",1+ROW(A508)-$C$32)</f>
        <v/>
      </c>
      <c r="B508" t="str" cm="1">
        <f t="array" aca="1" ref="B508" ca="1">IF(OR(INDIRECT(C$26&amp;"!B"&amp;(ROW()-C$32+C$31))="",$C$1="M2"),"",1+ROW(B508)-C$32)</f>
        <v/>
      </c>
      <c r="C508" t="str" cm="1">
        <f t="array" aca="1" ref="C508" ca="1">IF(ROW()&gt;(C$33+C$32-C$31),"",GammaSelfNext(C$29,INDIRECT(C$26&amp;"!A"&amp;ROW()-C$32+C$31&amp;":F"&amp;ROW()-C$32+C$31),C507))</f>
        <v/>
      </c>
      <c r="D508" t="e">
        <f t="shared" ca="1" si="18"/>
        <v>#N/A</v>
      </c>
      <c r="E508" t="e">
        <f t="shared" ca="1" si="19"/>
        <v>#N/A</v>
      </c>
    </row>
    <row r="509" spans="1:5" x14ac:dyDescent="0.3">
      <c r="A509" t="str" cm="1">
        <f t="array" aca="1" ref="A509" ca="1">IF(OR(INDIRECT($C$26&amp;"!B"&amp;(ROW()-$C$32+$C$31))="",$C$1="M2"),"",1+ROW(A509)-$C$32)</f>
        <v/>
      </c>
      <c r="B509" t="str" cm="1">
        <f t="array" aca="1" ref="B509" ca="1">IF(OR(INDIRECT(C$26&amp;"!B"&amp;(ROW()-C$32+C$31))="",$C$1="M2"),"",1+ROW(B509)-C$32)</f>
        <v/>
      </c>
      <c r="C509" t="str" cm="1">
        <f t="array" aca="1" ref="C509" ca="1">IF(ROW()&gt;(C$33+C$32-C$31),"",GammaSelfNext(C$29,INDIRECT(C$26&amp;"!A"&amp;ROW()-C$32+C$31&amp;":F"&amp;ROW()-C$32+C$31),C508))</f>
        <v/>
      </c>
      <c r="D509" t="e">
        <f t="shared" ca="1" si="18"/>
        <v>#N/A</v>
      </c>
      <c r="E509" t="e">
        <f t="shared" ca="1" si="19"/>
        <v>#N/A</v>
      </c>
    </row>
    <row r="510" spans="1:5" x14ac:dyDescent="0.3">
      <c r="A510" t="str" cm="1">
        <f t="array" aca="1" ref="A510" ca="1">IF(OR(INDIRECT($C$26&amp;"!B"&amp;(ROW()-$C$32+$C$31))="",$C$1="M2"),"",1+ROW(A510)-$C$32)</f>
        <v/>
      </c>
      <c r="B510" t="str" cm="1">
        <f t="array" aca="1" ref="B510" ca="1">IF(OR(INDIRECT(C$26&amp;"!B"&amp;(ROW()-C$32+C$31))="",$C$1="M2"),"",1+ROW(B510)-C$32)</f>
        <v/>
      </c>
      <c r="C510" t="str" cm="1">
        <f t="array" aca="1" ref="C510" ca="1">IF(ROW()&gt;(C$33+C$32-C$31),"",GammaSelfNext(C$29,INDIRECT(C$26&amp;"!A"&amp;ROW()-C$32+C$31&amp;":F"&amp;ROW()-C$32+C$31),C509))</f>
        <v/>
      </c>
      <c r="D510" t="e">
        <f t="shared" ca="1" si="18"/>
        <v>#N/A</v>
      </c>
      <c r="E510" t="e">
        <f t="shared" ca="1" si="19"/>
        <v>#N/A</v>
      </c>
    </row>
    <row r="511" spans="1:5" x14ac:dyDescent="0.3">
      <c r="A511" t="str" cm="1">
        <f t="array" aca="1" ref="A511" ca="1">IF(OR(INDIRECT($C$26&amp;"!B"&amp;(ROW()-$C$32+$C$31))="",$C$1="M2"),"",1+ROW(A511)-$C$32)</f>
        <v/>
      </c>
      <c r="B511" t="str" cm="1">
        <f t="array" aca="1" ref="B511" ca="1">IF(OR(INDIRECT(C$26&amp;"!B"&amp;(ROW()-C$32+C$31))="",$C$1="M2"),"",1+ROW(B511)-C$32)</f>
        <v/>
      </c>
      <c r="C511" t="str" cm="1">
        <f t="array" aca="1" ref="C511" ca="1">IF(ROW()&gt;(C$33+C$32-C$31),"",GammaSelfNext(C$29,INDIRECT(C$26&amp;"!A"&amp;ROW()-C$32+C$31&amp;":F"&amp;ROW()-C$32+C$31),C510))</f>
        <v/>
      </c>
      <c r="D511" t="e">
        <f t="shared" ca="1" si="18"/>
        <v>#N/A</v>
      </c>
      <c r="E511" t="e">
        <f t="shared" ca="1" si="19"/>
        <v>#N/A</v>
      </c>
    </row>
    <row r="512" spans="1:5" x14ac:dyDescent="0.3">
      <c r="A512" t="str" cm="1">
        <f t="array" aca="1" ref="A512" ca="1">IF(OR(INDIRECT($C$26&amp;"!B"&amp;(ROW()-$C$32+$C$31))="",$C$1="M2"),"",1+ROW(A512)-$C$32)</f>
        <v/>
      </c>
      <c r="B512" t="str" cm="1">
        <f t="array" aca="1" ref="B512" ca="1">IF(OR(INDIRECT(C$26&amp;"!B"&amp;(ROW()-C$32+C$31))="",$C$1="M2"),"",1+ROW(B512)-C$32)</f>
        <v/>
      </c>
      <c r="C512" t="str" cm="1">
        <f t="array" aca="1" ref="C512" ca="1">IF(ROW()&gt;(C$33+C$32-C$31),"",GammaSelfNext(C$29,INDIRECT(C$26&amp;"!A"&amp;ROW()-C$32+C$31&amp;":F"&amp;ROW()-C$32+C$31),C511))</f>
        <v/>
      </c>
      <c r="D512" t="e">
        <f t="shared" ca="1" si="18"/>
        <v>#N/A</v>
      </c>
      <c r="E512" t="e">
        <f t="shared" ca="1" si="19"/>
        <v>#N/A</v>
      </c>
    </row>
    <row r="513" spans="1:5" x14ac:dyDescent="0.3">
      <c r="A513" t="str" cm="1">
        <f t="array" aca="1" ref="A513" ca="1">IF(OR(INDIRECT($C$26&amp;"!B"&amp;(ROW()-$C$32+$C$31))="",$C$1="M2"),"",1+ROW(A513)-$C$32)</f>
        <v/>
      </c>
      <c r="B513" t="str" cm="1">
        <f t="array" aca="1" ref="B513" ca="1">IF(OR(INDIRECT(C$26&amp;"!B"&amp;(ROW()-C$32+C$31))="",$C$1="M2"),"",1+ROW(B513)-C$32)</f>
        <v/>
      </c>
      <c r="C513" t="str" cm="1">
        <f t="array" aca="1" ref="C513" ca="1">IF(ROW()&gt;(C$33+C$32-C$31),"",GammaSelfNext(C$29,INDIRECT(C$26&amp;"!A"&amp;ROW()-C$32+C$31&amp;":F"&amp;ROW()-C$32+C$31),C512))</f>
        <v/>
      </c>
      <c r="D513" t="e">
        <f t="shared" ca="1" si="18"/>
        <v>#N/A</v>
      </c>
      <c r="E513" t="e">
        <f t="shared" ca="1" si="19"/>
        <v>#N/A</v>
      </c>
    </row>
    <row r="514" spans="1:5" x14ac:dyDescent="0.3">
      <c r="A514" t="str" cm="1">
        <f t="array" aca="1" ref="A514" ca="1">IF(OR(INDIRECT($C$26&amp;"!B"&amp;(ROW()-$C$32+$C$31))="",$C$1="M2"),"",1+ROW(A514)-$C$32)</f>
        <v/>
      </c>
      <c r="B514" t="str" cm="1">
        <f t="array" aca="1" ref="B514" ca="1">IF(OR(INDIRECT(C$26&amp;"!B"&amp;(ROW()-C$32+C$31))="",$C$1="M2"),"",1+ROW(B514)-C$32)</f>
        <v/>
      </c>
      <c r="C514" t="str" cm="1">
        <f t="array" aca="1" ref="C514" ca="1">IF(ROW()&gt;(C$33+C$32-C$31),"",GammaSelfNext(C$29,INDIRECT(C$26&amp;"!A"&amp;ROW()-C$32+C$31&amp;":F"&amp;ROW()-C$32+C$31),C513))</f>
        <v/>
      </c>
      <c r="D514" t="e">
        <f t="shared" ca="1" si="18"/>
        <v>#N/A</v>
      </c>
      <c r="E514" t="e">
        <f t="shared" ca="1" si="19"/>
        <v>#N/A</v>
      </c>
    </row>
    <row r="515" spans="1:5" x14ac:dyDescent="0.3">
      <c r="A515" t="str" cm="1">
        <f t="array" aca="1" ref="A515" ca="1">IF(OR(INDIRECT($C$26&amp;"!B"&amp;(ROW()-$C$32+$C$31))="",$C$1="M2"),"",1+ROW(A515)-$C$32)</f>
        <v/>
      </c>
      <c r="B515" t="str" cm="1">
        <f t="array" aca="1" ref="B515" ca="1">IF(OR(INDIRECT(C$26&amp;"!B"&amp;(ROW()-C$32+C$31))="",$C$1="M2"),"",1+ROW(B515)-C$32)</f>
        <v/>
      </c>
      <c r="C515" t="str" cm="1">
        <f t="array" aca="1" ref="C515" ca="1">IF(ROW()&gt;(C$33+C$32-C$31),"",GammaSelfNext(C$29,INDIRECT(C$26&amp;"!A"&amp;ROW()-C$32+C$31&amp;":F"&amp;ROW()-C$32+C$31),C514))</f>
        <v/>
      </c>
      <c r="D515" t="e">
        <f t="shared" ca="1" si="18"/>
        <v>#N/A</v>
      </c>
      <c r="E515" t="e">
        <f t="shared" ca="1" si="19"/>
        <v>#N/A</v>
      </c>
    </row>
    <row r="516" spans="1:5" x14ac:dyDescent="0.3">
      <c r="A516" t="str" cm="1">
        <f t="array" aca="1" ref="A516" ca="1">IF(OR(INDIRECT($C$26&amp;"!B"&amp;(ROW()-$C$32+$C$31))="",$C$1="M2"),"",1+ROW(A516)-$C$32)</f>
        <v/>
      </c>
      <c r="B516" t="str" cm="1">
        <f t="array" aca="1" ref="B516" ca="1">IF(OR(INDIRECT(C$26&amp;"!B"&amp;(ROW()-C$32+C$31))="",$C$1="M2"),"",1+ROW(B516)-C$32)</f>
        <v/>
      </c>
      <c r="C516" t="str" cm="1">
        <f t="array" aca="1" ref="C516" ca="1">IF(ROW()&gt;(C$33+C$32-C$31),"",GammaSelfNext(C$29,INDIRECT(C$26&amp;"!A"&amp;ROW()-C$32+C$31&amp;":F"&amp;ROW()-C$32+C$31),C515))</f>
        <v/>
      </c>
      <c r="D516" t="e">
        <f t="shared" ca="1" si="18"/>
        <v>#N/A</v>
      </c>
      <c r="E516" t="e">
        <f t="shared" ca="1" si="19"/>
        <v>#N/A</v>
      </c>
    </row>
    <row r="517" spans="1:5" x14ac:dyDescent="0.3">
      <c r="A517" t="str" cm="1">
        <f t="array" aca="1" ref="A517" ca="1">IF(OR(INDIRECT($C$26&amp;"!B"&amp;(ROW()-$C$32+$C$31))="",$C$1="M2"),"",1+ROW(A517)-$C$32)</f>
        <v/>
      </c>
      <c r="B517" t="str" cm="1">
        <f t="array" aca="1" ref="B517" ca="1">IF(OR(INDIRECT(C$26&amp;"!B"&amp;(ROW()-C$32+C$31))="",$C$1="M2"),"",1+ROW(B517)-C$32)</f>
        <v/>
      </c>
      <c r="C517" t="str" cm="1">
        <f t="array" aca="1" ref="C517" ca="1">IF(ROW()&gt;(C$33+C$32-C$31),"",GammaSelfNext(C$29,INDIRECT(C$26&amp;"!A"&amp;ROW()-C$32+C$31&amp;":F"&amp;ROW()-C$32+C$31),C516))</f>
        <v/>
      </c>
      <c r="D517" t="e">
        <f t="shared" ca="1" si="18"/>
        <v>#N/A</v>
      </c>
      <c r="E517" t="e">
        <f t="shared" ca="1" si="19"/>
        <v>#N/A</v>
      </c>
    </row>
    <row r="518" spans="1:5" x14ac:dyDescent="0.3">
      <c r="A518" t="str" cm="1">
        <f t="array" aca="1" ref="A518" ca="1">IF(OR(INDIRECT($C$26&amp;"!B"&amp;(ROW()-$C$32+$C$31))="",$C$1="M2"),"",1+ROW(A518)-$C$32)</f>
        <v/>
      </c>
      <c r="B518" t="str" cm="1">
        <f t="array" aca="1" ref="B518" ca="1">IF(OR(INDIRECT(C$26&amp;"!B"&amp;(ROW()-C$32+C$31))="",$C$1="M2"),"",1+ROW(B518)-C$32)</f>
        <v/>
      </c>
      <c r="C518" t="str" cm="1">
        <f t="array" aca="1" ref="C518" ca="1">IF(ROW()&gt;(C$33+C$32-C$31),"",GammaSelfNext(C$29,INDIRECT(C$26&amp;"!A"&amp;ROW()-C$32+C$31&amp;":F"&amp;ROW()-C$32+C$31),C517))</f>
        <v/>
      </c>
      <c r="D518" t="e">
        <f t="shared" ca="1" si="18"/>
        <v>#N/A</v>
      </c>
      <c r="E518" t="e">
        <f t="shared" ca="1" si="19"/>
        <v>#N/A</v>
      </c>
    </row>
    <row r="519" spans="1:5" x14ac:dyDescent="0.3">
      <c r="A519" t="str" cm="1">
        <f t="array" aca="1" ref="A519" ca="1">IF(OR(INDIRECT($C$26&amp;"!B"&amp;(ROW()-$C$32+$C$31))="",$C$1="M2"),"",1+ROW(A519)-$C$32)</f>
        <v/>
      </c>
      <c r="B519" t="str" cm="1">
        <f t="array" aca="1" ref="B519" ca="1">IF(OR(INDIRECT(C$26&amp;"!B"&amp;(ROW()-C$32+C$31))="",$C$1="M2"),"",1+ROW(B519)-C$32)</f>
        <v/>
      </c>
      <c r="C519" t="str" cm="1">
        <f t="array" aca="1" ref="C519" ca="1">IF(ROW()&gt;(C$33+C$32-C$31),"",GammaSelfNext(C$29,INDIRECT(C$26&amp;"!A"&amp;ROW()-C$32+C$31&amp;":F"&amp;ROW()-C$32+C$31),C518))</f>
        <v/>
      </c>
      <c r="D519" t="e">
        <f t="shared" ca="1" si="18"/>
        <v>#N/A</v>
      </c>
      <c r="E519" t="e">
        <f t="shared" ca="1" si="19"/>
        <v>#N/A</v>
      </c>
    </row>
    <row r="520" spans="1:5" x14ac:dyDescent="0.3">
      <c r="A520" t="str" cm="1">
        <f t="array" aca="1" ref="A520" ca="1">IF(OR(INDIRECT($C$26&amp;"!B"&amp;(ROW()-$C$32+$C$31))="",$C$1="M2"),"",1+ROW(A520)-$C$32)</f>
        <v/>
      </c>
      <c r="B520" t="str" cm="1">
        <f t="array" aca="1" ref="B520" ca="1">IF(OR(INDIRECT(C$26&amp;"!B"&amp;(ROW()-C$32+C$31))="",$C$1="M2"),"",1+ROW(B520)-C$32)</f>
        <v/>
      </c>
      <c r="C520" t="str" cm="1">
        <f t="array" aca="1" ref="C520" ca="1">IF(ROW()&gt;(C$33+C$32-C$31),"",GammaSelfNext(C$29,INDIRECT(C$26&amp;"!A"&amp;ROW()-C$32+C$31&amp;":F"&amp;ROW()-C$32+C$31),C519))</f>
        <v/>
      </c>
      <c r="D520" t="e">
        <f t="shared" ca="1" si="18"/>
        <v>#N/A</v>
      </c>
      <c r="E520" t="e">
        <f t="shared" ca="1" si="19"/>
        <v>#N/A</v>
      </c>
    </row>
    <row r="521" spans="1:5" x14ac:dyDescent="0.3">
      <c r="A521" t="str" cm="1">
        <f t="array" aca="1" ref="A521" ca="1">IF(OR(INDIRECT($C$26&amp;"!B"&amp;(ROW()-$C$32+$C$31))="",$C$1="M2"),"",1+ROW(A521)-$C$32)</f>
        <v/>
      </c>
      <c r="B521" t="str" cm="1">
        <f t="array" aca="1" ref="B521" ca="1">IF(OR(INDIRECT(C$26&amp;"!B"&amp;(ROW()-C$32+C$31))="",$C$1="M2"),"",1+ROW(B521)-C$32)</f>
        <v/>
      </c>
      <c r="C521" t="str" cm="1">
        <f t="array" aca="1" ref="C521" ca="1">IF(ROW()&gt;(C$33+C$32-C$31),"",GammaSelfNext(C$29,INDIRECT(C$26&amp;"!A"&amp;ROW()-C$32+C$31&amp;":F"&amp;ROW()-C$32+C$31),C520))</f>
        <v/>
      </c>
      <c r="D521" t="e">
        <f t="shared" ca="1" si="18"/>
        <v>#N/A</v>
      </c>
      <c r="E521" t="e">
        <f t="shared" ca="1" si="19"/>
        <v>#N/A</v>
      </c>
    </row>
    <row r="522" spans="1:5" x14ac:dyDescent="0.3">
      <c r="A522" t="str" cm="1">
        <f t="array" aca="1" ref="A522" ca="1">IF(OR(INDIRECT($C$26&amp;"!B"&amp;(ROW()-$C$32+$C$31))="",$C$1="M2"),"",1+ROW(A522)-$C$32)</f>
        <v/>
      </c>
      <c r="B522" t="str" cm="1">
        <f t="array" aca="1" ref="B522" ca="1">IF(OR(INDIRECT(C$26&amp;"!B"&amp;(ROW()-C$32+C$31))="",$C$1="M2"),"",1+ROW(B522)-C$32)</f>
        <v/>
      </c>
      <c r="C522" t="str" cm="1">
        <f t="array" aca="1" ref="C522" ca="1">IF(ROW()&gt;(C$33+C$32-C$31),"",GammaSelfNext(C$29,INDIRECT(C$26&amp;"!A"&amp;ROW()-C$32+C$31&amp;":F"&amp;ROW()-C$32+C$31),C521))</f>
        <v/>
      </c>
      <c r="D522" t="e">
        <f t="shared" ca="1" si="18"/>
        <v>#N/A</v>
      </c>
      <c r="E522" t="e">
        <f t="shared" ca="1" si="19"/>
        <v>#N/A</v>
      </c>
    </row>
    <row r="523" spans="1:5" x14ac:dyDescent="0.3">
      <c r="A523" t="str" cm="1">
        <f t="array" aca="1" ref="A523" ca="1">IF(OR(INDIRECT($C$26&amp;"!B"&amp;(ROW()-$C$32+$C$31))="",$C$1="M2"),"",1+ROW(A523)-$C$32)</f>
        <v/>
      </c>
      <c r="B523" t="str" cm="1">
        <f t="array" aca="1" ref="B523" ca="1">IF(OR(INDIRECT(C$26&amp;"!B"&amp;(ROW()-C$32+C$31))="",$C$1="M2"),"",1+ROW(B523)-C$32)</f>
        <v/>
      </c>
      <c r="C523" t="str" cm="1">
        <f t="array" aca="1" ref="C523" ca="1">IF(ROW()&gt;(C$33+C$32-C$31),"",GammaSelfNext(C$29,INDIRECT(C$26&amp;"!A"&amp;ROW()-C$32+C$31&amp;":F"&amp;ROW()-C$32+C$31),C522))</f>
        <v/>
      </c>
      <c r="D523" t="e">
        <f t="shared" ca="1" si="18"/>
        <v>#N/A</v>
      </c>
      <c r="E523" t="e">
        <f t="shared" ca="1" si="19"/>
        <v>#N/A</v>
      </c>
    </row>
    <row r="524" spans="1:5" x14ac:dyDescent="0.3">
      <c r="A524" t="str" cm="1">
        <f t="array" aca="1" ref="A524" ca="1">IF(OR(INDIRECT($C$26&amp;"!B"&amp;(ROW()-$C$32+$C$31))="",$C$1="M2"),"",1+ROW(A524)-$C$32)</f>
        <v/>
      </c>
      <c r="B524" t="str" cm="1">
        <f t="array" aca="1" ref="B524" ca="1">IF(OR(INDIRECT(C$26&amp;"!B"&amp;(ROW()-C$32+C$31))="",$C$1="M2"),"",1+ROW(B524)-C$32)</f>
        <v/>
      </c>
      <c r="C524" t="str" cm="1">
        <f t="array" aca="1" ref="C524" ca="1">IF(ROW()&gt;(C$33+C$32-C$31),"",GammaSelfNext(C$29,INDIRECT(C$26&amp;"!A"&amp;ROW()-C$32+C$31&amp;":F"&amp;ROW()-C$32+C$31),C523))</f>
        <v/>
      </c>
      <c r="D524" t="e">
        <f t="shared" ca="1" si="18"/>
        <v>#N/A</v>
      </c>
      <c r="E524" t="e">
        <f t="shared" ca="1" si="19"/>
        <v>#N/A</v>
      </c>
    </row>
    <row r="525" spans="1:5" x14ac:dyDescent="0.3">
      <c r="A525" t="str" cm="1">
        <f t="array" aca="1" ref="A525" ca="1">IF(OR(INDIRECT($C$26&amp;"!B"&amp;(ROW()-$C$32+$C$31))="",$C$1="M2"),"",1+ROW(A525)-$C$32)</f>
        <v/>
      </c>
      <c r="B525" t="str" cm="1">
        <f t="array" aca="1" ref="B525" ca="1">IF(OR(INDIRECT(C$26&amp;"!B"&amp;(ROW()-C$32+C$31))="",$C$1="M2"),"",1+ROW(B525)-C$32)</f>
        <v/>
      </c>
      <c r="C525" t="str" cm="1">
        <f t="array" aca="1" ref="C525" ca="1">IF(ROW()&gt;(C$33+C$32-C$31),"",GammaSelfNext(C$29,INDIRECT(C$26&amp;"!A"&amp;ROW()-C$32+C$31&amp;":F"&amp;ROW()-C$32+C$31),C524))</f>
        <v/>
      </c>
      <c r="D525" t="e">
        <f t="shared" ca="1" si="18"/>
        <v>#N/A</v>
      </c>
      <c r="E525" t="e">
        <f t="shared" ca="1" si="19"/>
        <v>#N/A</v>
      </c>
    </row>
    <row r="526" spans="1:5" x14ac:dyDescent="0.3">
      <c r="A526" t="str" cm="1">
        <f t="array" aca="1" ref="A526" ca="1">IF(OR(INDIRECT($C$26&amp;"!B"&amp;(ROW()-$C$32+$C$31))="",$C$1="M2"),"",1+ROW(A526)-$C$32)</f>
        <v/>
      </c>
      <c r="B526" t="str" cm="1">
        <f t="array" aca="1" ref="B526" ca="1">IF(OR(INDIRECT(C$26&amp;"!B"&amp;(ROW()-C$32+C$31))="",$C$1="M2"),"",1+ROW(B526)-C$32)</f>
        <v/>
      </c>
      <c r="C526" t="str" cm="1">
        <f t="array" aca="1" ref="C526" ca="1">IF(ROW()&gt;(C$33+C$32-C$31),"",GammaSelfNext(C$29,INDIRECT(C$26&amp;"!A"&amp;ROW()-C$32+C$31&amp;":F"&amp;ROW()-C$32+C$31),C525))</f>
        <v/>
      </c>
      <c r="D526" t="e">
        <f t="shared" ca="1" si="18"/>
        <v>#N/A</v>
      </c>
      <c r="E526" t="e">
        <f t="shared" ca="1" si="19"/>
        <v>#N/A</v>
      </c>
    </row>
    <row r="527" spans="1:5" x14ac:dyDescent="0.3">
      <c r="A527" t="str" cm="1">
        <f t="array" aca="1" ref="A527" ca="1">IF(OR(INDIRECT($C$26&amp;"!B"&amp;(ROW()-$C$32+$C$31))="",$C$1="M2"),"",1+ROW(A527)-$C$32)</f>
        <v/>
      </c>
      <c r="B527" t="str" cm="1">
        <f t="array" aca="1" ref="B527" ca="1">IF(OR(INDIRECT(C$26&amp;"!B"&amp;(ROW()-C$32+C$31))="",$C$1="M2"),"",1+ROW(B527)-C$32)</f>
        <v/>
      </c>
      <c r="C527" t="str" cm="1">
        <f t="array" aca="1" ref="C527" ca="1">IF(ROW()&gt;(C$33+C$32-C$31),"",GammaSelfNext(C$29,INDIRECT(C$26&amp;"!A"&amp;ROW()-C$32+C$31&amp;":F"&amp;ROW()-C$32+C$31),C526))</f>
        <v/>
      </c>
      <c r="D527" t="e">
        <f t="shared" ca="1" si="18"/>
        <v>#N/A</v>
      </c>
      <c r="E527" t="e">
        <f t="shared" ca="1" si="19"/>
        <v>#N/A</v>
      </c>
    </row>
    <row r="528" spans="1:5" x14ac:dyDescent="0.3">
      <c r="A528" t="str" cm="1">
        <f t="array" aca="1" ref="A528" ca="1">IF(OR(INDIRECT($C$26&amp;"!B"&amp;(ROW()-$C$32+$C$31))="",$C$1="M2"),"",1+ROW(A528)-$C$32)</f>
        <v/>
      </c>
      <c r="B528" t="str" cm="1">
        <f t="array" aca="1" ref="B528" ca="1">IF(OR(INDIRECT(C$26&amp;"!B"&amp;(ROW()-C$32+C$31))="",$C$1="M2"),"",1+ROW(B528)-C$32)</f>
        <v/>
      </c>
      <c r="C528" t="str" cm="1">
        <f t="array" aca="1" ref="C528" ca="1">IF(ROW()&gt;(C$33+C$32-C$31),"",GammaSelfNext(C$29,INDIRECT(C$26&amp;"!A"&amp;ROW()-C$32+C$31&amp;":F"&amp;ROW()-C$32+C$31),C527))</f>
        <v/>
      </c>
      <c r="D528" t="e">
        <f t="shared" ca="1" si="18"/>
        <v>#N/A</v>
      </c>
      <c r="E528" t="e">
        <f t="shared" ca="1" si="19"/>
        <v>#N/A</v>
      </c>
    </row>
    <row r="529" spans="1:5" x14ac:dyDescent="0.3">
      <c r="A529" t="str" cm="1">
        <f t="array" aca="1" ref="A529" ca="1">IF(OR(INDIRECT($C$26&amp;"!B"&amp;(ROW()-$C$32+$C$31))="",$C$1="M2"),"",1+ROW(A529)-$C$32)</f>
        <v/>
      </c>
      <c r="B529" t="str" cm="1">
        <f t="array" aca="1" ref="B529" ca="1">IF(OR(INDIRECT(C$26&amp;"!B"&amp;(ROW()-C$32+C$31))="",$C$1="M2"),"",1+ROW(B529)-C$32)</f>
        <v/>
      </c>
      <c r="C529" t="str" cm="1">
        <f t="array" aca="1" ref="C529" ca="1">IF(ROW()&gt;(C$33+C$32-C$31),"",GammaSelfNext(C$29,INDIRECT(C$26&amp;"!A"&amp;ROW()-C$32+C$31&amp;":F"&amp;ROW()-C$32+C$31),C528))</f>
        <v/>
      </c>
      <c r="D529" t="e">
        <f t="shared" ca="1" si="18"/>
        <v>#N/A</v>
      </c>
      <c r="E529" t="e">
        <f t="shared" ca="1" si="19"/>
        <v>#N/A</v>
      </c>
    </row>
    <row r="530" spans="1:5" x14ac:dyDescent="0.3">
      <c r="A530" t="str" cm="1">
        <f t="array" aca="1" ref="A530" ca="1">IF(OR(INDIRECT($C$26&amp;"!B"&amp;(ROW()-$C$32+$C$31))="",$C$1="M2"),"",1+ROW(A530)-$C$32)</f>
        <v/>
      </c>
      <c r="B530" t="str" cm="1">
        <f t="array" aca="1" ref="B530" ca="1">IF(OR(INDIRECT(C$26&amp;"!B"&amp;(ROW()-C$32+C$31))="",$C$1="M2"),"",1+ROW(B530)-C$32)</f>
        <v/>
      </c>
      <c r="C530" t="str" cm="1">
        <f t="array" aca="1" ref="C530" ca="1">IF(ROW()&gt;(C$33+C$32-C$31),"",GammaSelfNext(C$29,INDIRECT(C$26&amp;"!A"&amp;ROW()-C$32+C$31&amp;":F"&amp;ROW()-C$32+C$31),C529))</f>
        <v/>
      </c>
      <c r="D530" t="e">
        <f t="shared" ca="1" si="18"/>
        <v>#N/A</v>
      </c>
      <c r="E530" t="e">
        <f t="shared" ca="1" si="19"/>
        <v>#N/A</v>
      </c>
    </row>
    <row r="531" spans="1:5" x14ac:dyDescent="0.3">
      <c r="A531" t="str" cm="1">
        <f t="array" aca="1" ref="A531" ca="1">IF(OR(INDIRECT($C$26&amp;"!B"&amp;(ROW()-$C$32+$C$31))="",$C$1="M2"),"",1+ROW(A531)-$C$32)</f>
        <v/>
      </c>
      <c r="B531" t="str" cm="1">
        <f t="array" aca="1" ref="B531" ca="1">IF(OR(INDIRECT(C$26&amp;"!B"&amp;(ROW()-C$32+C$31))="",$C$1="M2"),"",1+ROW(B531)-C$32)</f>
        <v/>
      </c>
      <c r="C531" t="str" cm="1">
        <f t="array" aca="1" ref="C531" ca="1">IF(ROW()&gt;(C$33+C$32-C$31),"",GammaSelfNext(C$29,INDIRECT(C$26&amp;"!A"&amp;ROW()-C$32+C$31&amp;":F"&amp;ROW()-C$32+C$31),C530))</f>
        <v/>
      </c>
      <c r="D531" t="e">
        <f t="shared" ca="1" si="18"/>
        <v>#N/A</v>
      </c>
      <c r="E531" t="e">
        <f t="shared" ca="1" si="19"/>
        <v>#N/A</v>
      </c>
    </row>
    <row r="532" spans="1:5" x14ac:dyDescent="0.3">
      <c r="A532" t="str" cm="1">
        <f t="array" aca="1" ref="A532" ca="1">IF(OR(INDIRECT($C$26&amp;"!B"&amp;(ROW()-$C$32+$C$31))="",$C$1="M2"),"",1+ROW(A532)-$C$32)</f>
        <v/>
      </c>
      <c r="B532" t="str" cm="1">
        <f t="array" aca="1" ref="B532" ca="1">IF(OR(INDIRECT(C$26&amp;"!B"&amp;(ROW()-C$32+C$31))="",$C$1="M2"),"",1+ROW(B532)-C$32)</f>
        <v/>
      </c>
      <c r="C532" t="str" cm="1">
        <f t="array" aca="1" ref="C532" ca="1">IF(ROW()&gt;(C$33+C$32-C$31),"",GammaSelfNext(C$29,INDIRECT(C$26&amp;"!A"&amp;ROW()-C$32+C$31&amp;":F"&amp;ROW()-C$32+C$31),C531))</f>
        <v/>
      </c>
      <c r="D532" t="e">
        <f t="shared" ca="1" si="18"/>
        <v>#N/A</v>
      </c>
      <c r="E532" t="e">
        <f t="shared" ca="1" si="19"/>
        <v>#N/A</v>
      </c>
    </row>
    <row r="533" spans="1:5" x14ac:dyDescent="0.3">
      <c r="A533" t="str" cm="1">
        <f t="array" aca="1" ref="A533" ca="1">IF(OR(INDIRECT($C$26&amp;"!B"&amp;(ROW()-$C$32+$C$31))="",$C$1="M2"),"",1+ROW(A533)-$C$32)</f>
        <v/>
      </c>
      <c r="B533" t="str" cm="1">
        <f t="array" aca="1" ref="B533" ca="1">IF(OR(INDIRECT(C$26&amp;"!B"&amp;(ROW()-C$32+C$31))="",$C$1="M2"),"",1+ROW(B533)-C$32)</f>
        <v/>
      </c>
      <c r="C533" t="str" cm="1">
        <f t="array" aca="1" ref="C533" ca="1">IF(ROW()&gt;(C$33+C$32-C$31),"",GammaSelfNext(C$29,INDIRECT(C$26&amp;"!A"&amp;ROW()-C$32+C$31&amp;":F"&amp;ROW()-C$32+C$31),C532))</f>
        <v/>
      </c>
      <c r="D533" t="e">
        <f t="shared" ca="1" si="18"/>
        <v>#N/A</v>
      </c>
      <c r="E533" t="e">
        <f t="shared" ca="1" si="19"/>
        <v>#N/A</v>
      </c>
    </row>
    <row r="534" spans="1:5" x14ac:dyDescent="0.3">
      <c r="A534" t="str" cm="1">
        <f t="array" aca="1" ref="A534" ca="1">IF(OR(INDIRECT($C$26&amp;"!B"&amp;(ROW()-$C$32+$C$31))="",$C$1="M2"),"",1+ROW(A534)-$C$32)</f>
        <v/>
      </c>
      <c r="B534" t="str" cm="1">
        <f t="array" aca="1" ref="B534" ca="1">IF(OR(INDIRECT(C$26&amp;"!B"&amp;(ROW()-C$32+C$31))="",$C$1="M2"),"",1+ROW(B534)-C$32)</f>
        <v/>
      </c>
      <c r="C534" t="str" cm="1">
        <f t="array" aca="1" ref="C534" ca="1">IF(ROW()&gt;(C$33+C$32-C$31),"",GammaSelfNext(C$29,INDIRECT(C$26&amp;"!A"&amp;ROW()-C$32+C$31&amp;":F"&amp;ROW()-C$32+C$31),C533))</f>
        <v/>
      </c>
      <c r="D534" t="e">
        <f t="shared" ca="1" si="18"/>
        <v>#N/A</v>
      </c>
      <c r="E534" t="e">
        <f t="shared" ca="1" si="19"/>
        <v>#N/A</v>
      </c>
    </row>
  </sheetData>
  <mergeCells count="13">
    <mergeCell ref="K26:Q37"/>
    <mergeCell ref="A33:B33"/>
    <mergeCell ref="A36:B36"/>
    <mergeCell ref="B38:E38"/>
    <mergeCell ref="A35:B35"/>
    <mergeCell ref="A1:B1"/>
    <mergeCell ref="A34:B34"/>
    <mergeCell ref="A31:B31"/>
    <mergeCell ref="A32:B32"/>
    <mergeCell ref="A26:B26"/>
    <mergeCell ref="A30:B30"/>
    <mergeCell ref="A28:B28"/>
    <mergeCell ref="A27:B27"/>
  </mergeCell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50C6E0-FF67-45DF-B3B3-84216C19BF28}">
  <dimension ref="A1:G25"/>
  <sheetViews>
    <sheetView topLeftCell="A4" workbookViewId="0">
      <selection activeCell="I10" sqref="I10"/>
    </sheetView>
  </sheetViews>
  <sheetFormatPr defaultRowHeight="14.4" x14ac:dyDescent="0.3"/>
  <cols>
    <col min="7" max="7" width="41" bestFit="1" customWidth="1"/>
  </cols>
  <sheetData>
    <row r="1" spans="1:7" x14ac:dyDescent="0.3">
      <c r="A1" t="s">
        <v>99</v>
      </c>
      <c r="B1" t="s">
        <v>125</v>
      </c>
    </row>
    <row r="2" spans="1:7" x14ac:dyDescent="0.3">
      <c r="A2" t="s">
        <v>100</v>
      </c>
      <c r="B2" t="s">
        <v>126</v>
      </c>
    </row>
    <row r="3" spans="1:7" x14ac:dyDescent="0.3">
      <c r="A3" t="s">
        <v>101</v>
      </c>
      <c r="B3" t="s">
        <v>127</v>
      </c>
    </row>
    <row r="4" spans="1:7" x14ac:dyDescent="0.3">
      <c r="A4" t="s">
        <v>102</v>
      </c>
      <c r="B4" t="s">
        <v>51</v>
      </c>
      <c r="C4" t="s">
        <v>55</v>
      </c>
      <c r="D4" t="s">
        <v>79</v>
      </c>
      <c r="E4" t="s">
        <v>60</v>
      </c>
      <c r="F4" t="s">
        <v>64</v>
      </c>
      <c r="G4" t="s">
        <v>103</v>
      </c>
    </row>
    <row r="5" spans="1:7" x14ac:dyDescent="0.3">
      <c r="A5">
        <v>0</v>
      </c>
      <c r="B5">
        <v>4</v>
      </c>
      <c r="C5">
        <v>8</v>
      </c>
      <c r="D5">
        <v>1</v>
      </c>
      <c r="E5">
        <v>8</v>
      </c>
      <c r="F5">
        <v>8</v>
      </c>
      <c r="G5" t="s">
        <v>128</v>
      </c>
    </row>
    <row r="6" spans="1:7" x14ac:dyDescent="0.3">
      <c r="A6">
        <v>1</v>
      </c>
      <c r="B6">
        <v>4</v>
      </c>
      <c r="C6">
        <v>8</v>
      </c>
      <c r="D6">
        <v>1</v>
      </c>
      <c r="E6">
        <v>9</v>
      </c>
      <c r="F6">
        <v>8</v>
      </c>
      <c r="G6" t="s">
        <v>129</v>
      </c>
    </row>
    <row r="7" spans="1:7" x14ac:dyDescent="0.3">
      <c r="A7">
        <v>2</v>
      </c>
      <c r="B7">
        <v>5</v>
      </c>
      <c r="C7">
        <v>8</v>
      </c>
      <c r="D7">
        <v>1</v>
      </c>
      <c r="E7">
        <v>9</v>
      </c>
      <c r="F7">
        <v>8</v>
      </c>
      <c r="G7" t="s">
        <v>130</v>
      </c>
    </row>
    <row r="8" spans="1:7" x14ac:dyDescent="0.3">
      <c r="A8">
        <v>3</v>
      </c>
      <c r="B8">
        <v>4</v>
      </c>
      <c r="C8">
        <v>8</v>
      </c>
      <c r="D8">
        <v>1</v>
      </c>
      <c r="E8">
        <v>9</v>
      </c>
      <c r="F8">
        <v>8</v>
      </c>
      <c r="G8" t="s">
        <v>131</v>
      </c>
    </row>
    <row r="9" spans="1:7" x14ac:dyDescent="0.3">
      <c r="A9">
        <v>4</v>
      </c>
      <c r="B9">
        <v>5</v>
      </c>
      <c r="C9">
        <v>9</v>
      </c>
      <c r="D9">
        <v>1</v>
      </c>
      <c r="E9">
        <v>9</v>
      </c>
      <c r="F9">
        <v>9</v>
      </c>
      <c r="G9" t="s">
        <v>132</v>
      </c>
    </row>
    <row r="10" spans="1:7" x14ac:dyDescent="0.3">
      <c r="A10">
        <v>5</v>
      </c>
      <c r="B10">
        <v>5</v>
      </c>
      <c r="C10">
        <v>8</v>
      </c>
      <c r="D10">
        <v>2</v>
      </c>
      <c r="E10">
        <v>8</v>
      </c>
      <c r="F10">
        <v>8</v>
      </c>
      <c r="G10" t="s">
        <v>133</v>
      </c>
    </row>
    <row r="11" spans="1:7" x14ac:dyDescent="0.3">
      <c r="A11">
        <v>6</v>
      </c>
      <c r="B11">
        <v>6</v>
      </c>
      <c r="C11">
        <v>8</v>
      </c>
      <c r="D11">
        <v>2</v>
      </c>
      <c r="E11">
        <v>8</v>
      </c>
      <c r="F11">
        <v>7</v>
      </c>
      <c r="G11" t="s">
        <v>134</v>
      </c>
    </row>
    <row r="12" spans="1:7" x14ac:dyDescent="0.3">
      <c r="A12">
        <v>7</v>
      </c>
      <c r="B12">
        <v>6</v>
      </c>
      <c r="C12">
        <v>7</v>
      </c>
      <c r="D12">
        <v>3</v>
      </c>
      <c r="E12">
        <v>7</v>
      </c>
      <c r="F12">
        <v>7</v>
      </c>
      <c r="G12" t="s">
        <v>135</v>
      </c>
    </row>
    <row r="13" spans="1:7" x14ac:dyDescent="0.3">
      <c r="A13">
        <v>8</v>
      </c>
      <c r="B13">
        <v>6</v>
      </c>
      <c r="C13">
        <v>7</v>
      </c>
      <c r="D13">
        <v>3</v>
      </c>
      <c r="E13">
        <v>7</v>
      </c>
      <c r="F13">
        <v>6</v>
      </c>
      <c r="G13" t="s">
        <v>136</v>
      </c>
    </row>
    <row r="14" spans="1:7" x14ac:dyDescent="0.3">
      <c r="A14">
        <v>9</v>
      </c>
      <c r="B14">
        <v>7</v>
      </c>
      <c r="C14">
        <v>6</v>
      </c>
      <c r="D14">
        <v>3</v>
      </c>
      <c r="E14">
        <v>6</v>
      </c>
      <c r="F14">
        <v>6</v>
      </c>
      <c r="G14" t="s">
        <v>137</v>
      </c>
    </row>
    <row r="15" spans="1:7" x14ac:dyDescent="0.3">
      <c r="A15">
        <v>10</v>
      </c>
      <c r="B15">
        <v>7</v>
      </c>
      <c r="C15">
        <v>6</v>
      </c>
      <c r="D15">
        <v>4</v>
      </c>
      <c r="E15">
        <v>6</v>
      </c>
      <c r="F15">
        <v>6</v>
      </c>
      <c r="G15" t="s">
        <v>138</v>
      </c>
    </row>
    <row r="16" spans="1:7" x14ac:dyDescent="0.3">
      <c r="A16">
        <v>11</v>
      </c>
      <c r="B16">
        <v>7</v>
      </c>
      <c r="C16">
        <v>5</v>
      </c>
      <c r="D16">
        <v>5</v>
      </c>
      <c r="E16">
        <v>5</v>
      </c>
      <c r="F16">
        <v>5</v>
      </c>
      <c r="G16" t="s">
        <v>139</v>
      </c>
    </row>
    <row r="17" spans="1:7" x14ac:dyDescent="0.3">
      <c r="A17">
        <v>12</v>
      </c>
      <c r="B17">
        <v>7</v>
      </c>
      <c r="C17">
        <v>5</v>
      </c>
      <c r="D17">
        <v>6</v>
      </c>
      <c r="E17">
        <v>5</v>
      </c>
      <c r="F17">
        <v>5</v>
      </c>
      <c r="G17" t="s">
        <v>140</v>
      </c>
    </row>
    <row r="18" spans="1:7" x14ac:dyDescent="0.3">
      <c r="A18">
        <v>13</v>
      </c>
      <c r="B18">
        <v>7</v>
      </c>
      <c r="C18">
        <v>5</v>
      </c>
      <c r="D18">
        <v>6</v>
      </c>
      <c r="E18">
        <v>5</v>
      </c>
      <c r="F18">
        <v>5</v>
      </c>
      <c r="G18" t="s">
        <v>141</v>
      </c>
    </row>
    <row r="19" spans="1:7" x14ac:dyDescent="0.3">
      <c r="A19">
        <v>14</v>
      </c>
      <c r="B19">
        <v>7</v>
      </c>
      <c r="C19">
        <v>4</v>
      </c>
      <c r="D19">
        <v>7</v>
      </c>
      <c r="E19">
        <v>5</v>
      </c>
      <c r="F19">
        <v>4</v>
      </c>
      <c r="G19" t="s">
        <v>142</v>
      </c>
    </row>
    <row r="20" spans="1:7" x14ac:dyDescent="0.3">
      <c r="A20">
        <v>15</v>
      </c>
      <c r="B20">
        <v>7</v>
      </c>
      <c r="C20">
        <v>4</v>
      </c>
      <c r="D20">
        <v>7</v>
      </c>
      <c r="E20">
        <v>4</v>
      </c>
      <c r="F20">
        <v>4</v>
      </c>
      <c r="G20" t="s">
        <v>143</v>
      </c>
    </row>
    <row r="21" spans="1:7" x14ac:dyDescent="0.3">
      <c r="A21">
        <v>16</v>
      </c>
      <c r="B21">
        <v>7</v>
      </c>
      <c r="C21">
        <v>4</v>
      </c>
      <c r="D21">
        <v>8</v>
      </c>
      <c r="E21">
        <v>4</v>
      </c>
      <c r="F21">
        <v>4</v>
      </c>
      <c r="G21" t="s">
        <v>144</v>
      </c>
    </row>
    <row r="22" spans="1:7" x14ac:dyDescent="0.3">
      <c r="A22">
        <v>17</v>
      </c>
      <c r="B22">
        <v>6</v>
      </c>
      <c r="C22">
        <v>5</v>
      </c>
      <c r="D22">
        <v>6</v>
      </c>
      <c r="E22">
        <v>6</v>
      </c>
      <c r="F22">
        <v>5</v>
      </c>
      <c r="G22" t="s">
        <v>145</v>
      </c>
    </row>
    <row r="23" spans="1:7" x14ac:dyDescent="0.3">
      <c r="A23">
        <v>18</v>
      </c>
      <c r="B23">
        <v>5</v>
      </c>
      <c r="C23">
        <v>6</v>
      </c>
      <c r="D23">
        <v>5</v>
      </c>
      <c r="E23">
        <v>7</v>
      </c>
      <c r="F23">
        <v>6</v>
      </c>
      <c r="G23" t="s">
        <v>146</v>
      </c>
    </row>
    <row r="24" spans="1:7" x14ac:dyDescent="0.3">
      <c r="A24">
        <v>19</v>
      </c>
      <c r="B24">
        <v>5</v>
      </c>
      <c r="C24">
        <v>6</v>
      </c>
      <c r="D24">
        <v>4</v>
      </c>
      <c r="E24">
        <v>7</v>
      </c>
      <c r="F24">
        <v>6</v>
      </c>
      <c r="G24" t="s">
        <v>147</v>
      </c>
    </row>
    <row r="25" spans="1:7" x14ac:dyDescent="0.3">
      <c r="A25">
        <v>20</v>
      </c>
      <c r="B25">
        <v>5</v>
      </c>
      <c r="C25">
        <v>6</v>
      </c>
      <c r="D25">
        <v>4</v>
      </c>
      <c r="E25">
        <v>7</v>
      </c>
      <c r="F25">
        <v>6</v>
      </c>
      <c r="G25" t="s">
        <v>148</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991A95-E5A1-4BC6-9495-93E616EA39AB}">
  <sheetPr codeName="Sheet2"/>
  <dimension ref="A1:D17"/>
  <sheetViews>
    <sheetView workbookViewId="0">
      <selection sqref="A1:D17"/>
    </sheetView>
  </sheetViews>
  <sheetFormatPr defaultRowHeight="14.4" x14ac:dyDescent="0.3"/>
  <cols>
    <col min="1" max="1" width="12.109375" customWidth="1"/>
    <col min="4" max="4" width="61.6640625" customWidth="1"/>
  </cols>
  <sheetData>
    <row r="1" spans="1:4" x14ac:dyDescent="0.3">
      <c r="A1" s="1" t="s">
        <v>0</v>
      </c>
      <c r="B1" s="1" t="s">
        <v>1</v>
      </c>
      <c r="C1" s="1" t="s">
        <v>2</v>
      </c>
      <c r="D1" s="1" t="s">
        <v>3</v>
      </c>
    </row>
    <row r="2" spans="1:4" ht="28.8" x14ac:dyDescent="0.3">
      <c r="A2" s="2" t="s">
        <v>4</v>
      </c>
      <c r="B2" s="2">
        <v>0.8</v>
      </c>
      <c r="C2" s="2" t="s">
        <v>5</v>
      </c>
      <c r="D2" s="2" t="s">
        <v>6</v>
      </c>
    </row>
    <row r="3" spans="1:4" ht="28.8" x14ac:dyDescent="0.3">
      <c r="A3" s="2" t="s">
        <v>7</v>
      </c>
      <c r="B3" s="2">
        <v>1</v>
      </c>
      <c r="C3" s="2" t="s">
        <v>5</v>
      </c>
      <c r="D3" s="2" t="s">
        <v>8</v>
      </c>
    </row>
    <row r="4" spans="1:4" ht="28.8" x14ac:dyDescent="0.3">
      <c r="A4" s="2" t="s">
        <v>9</v>
      </c>
      <c r="B4" s="2">
        <v>1.2</v>
      </c>
      <c r="C4" s="2" t="s">
        <v>5</v>
      </c>
      <c r="D4" s="2" t="s">
        <v>10</v>
      </c>
    </row>
    <row r="5" spans="1:4" x14ac:dyDescent="0.3">
      <c r="A5" s="2" t="s">
        <v>11</v>
      </c>
      <c r="B5" s="2">
        <v>0.6</v>
      </c>
      <c r="C5" s="2" t="s">
        <v>5</v>
      </c>
      <c r="D5" s="2" t="s">
        <v>12</v>
      </c>
    </row>
    <row r="6" spans="1:4" ht="28.8" x14ac:dyDescent="0.3">
      <c r="A6" s="2" t="s">
        <v>13</v>
      </c>
      <c r="B6" s="2">
        <v>0.5</v>
      </c>
      <c r="C6" s="2" t="s">
        <v>5</v>
      </c>
      <c r="D6" s="2" t="s">
        <v>14</v>
      </c>
    </row>
    <row r="7" spans="1:4" ht="28.8" x14ac:dyDescent="0.3">
      <c r="A7" s="2" t="s">
        <v>15</v>
      </c>
      <c r="B7" s="2">
        <v>0.5</v>
      </c>
      <c r="C7" s="2" t="s">
        <v>5</v>
      </c>
      <c r="D7" s="2" t="s">
        <v>44</v>
      </c>
    </row>
    <row r="8" spans="1:4" ht="28.8" x14ac:dyDescent="0.3">
      <c r="A8" s="2" t="s">
        <v>16</v>
      </c>
      <c r="B8" s="2">
        <v>0.12</v>
      </c>
      <c r="C8" s="2" t="s">
        <v>5</v>
      </c>
      <c r="D8" s="2" t="s">
        <v>17</v>
      </c>
    </row>
    <row r="9" spans="1:4" ht="28.8" x14ac:dyDescent="0.3">
      <c r="A9" s="2" t="s">
        <v>18</v>
      </c>
      <c r="B9" s="2">
        <v>5</v>
      </c>
      <c r="C9" s="2" t="s">
        <v>5</v>
      </c>
      <c r="D9" s="2" t="s">
        <v>19</v>
      </c>
    </row>
    <row r="10" spans="1:4" ht="28.8" x14ac:dyDescent="0.3">
      <c r="A10" s="2" t="s">
        <v>20</v>
      </c>
      <c r="B10" s="2">
        <v>0.02</v>
      </c>
      <c r="C10" s="2" t="s">
        <v>21</v>
      </c>
      <c r="D10" s="2" t="s">
        <v>22</v>
      </c>
    </row>
    <row r="11" spans="1:4" ht="28.8" x14ac:dyDescent="0.3">
      <c r="A11" s="2" t="s">
        <v>23</v>
      </c>
      <c r="B11" s="2">
        <v>0.02</v>
      </c>
      <c r="C11" s="2" t="s">
        <v>21</v>
      </c>
      <c r="D11" s="2" t="s">
        <v>24</v>
      </c>
    </row>
    <row r="12" spans="1:4" ht="28.8" x14ac:dyDescent="0.3">
      <c r="A12" s="2" t="s">
        <v>25</v>
      </c>
      <c r="B12" s="2">
        <v>-150</v>
      </c>
      <c r="C12" s="2" t="s">
        <v>5</v>
      </c>
      <c r="D12" s="2" t="s">
        <v>26</v>
      </c>
    </row>
    <row r="13" spans="1:4" ht="28.8" x14ac:dyDescent="0.3">
      <c r="A13" s="2" t="s">
        <v>27</v>
      </c>
      <c r="B13" s="2">
        <v>0</v>
      </c>
      <c r="C13" s="2" t="s">
        <v>5</v>
      </c>
      <c r="D13" s="2" t="s">
        <v>28</v>
      </c>
    </row>
    <row r="14" spans="1:4" ht="28.8" x14ac:dyDescent="0.3">
      <c r="A14" s="2" t="s">
        <v>29</v>
      </c>
      <c r="B14" s="2" t="b">
        <v>0</v>
      </c>
      <c r="C14" s="2" t="s">
        <v>5</v>
      </c>
      <c r="D14" s="2" t="s">
        <v>30</v>
      </c>
    </row>
    <row r="16" spans="1:4" x14ac:dyDescent="0.3">
      <c r="A16" s="18" t="s">
        <v>43</v>
      </c>
      <c r="B16" s="19"/>
      <c r="C16" s="19"/>
      <c r="D16" s="19"/>
    </row>
    <row r="17" spans="1:4" ht="36.6" customHeight="1" x14ac:dyDescent="0.3">
      <c r="A17" s="19"/>
      <c r="B17" s="19"/>
      <c r="C17" s="19"/>
      <c r="D17" s="19"/>
    </row>
  </sheetData>
  <mergeCells count="1">
    <mergeCell ref="A16:D17"/>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DB7DB3-CBE9-405C-AF18-FD35638EE700}">
  <sheetPr codeName="Sheet3"/>
  <dimension ref="A1:D9"/>
  <sheetViews>
    <sheetView workbookViewId="0">
      <selection activeCell="B12" sqref="B12"/>
    </sheetView>
  </sheetViews>
  <sheetFormatPr defaultRowHeight="14.4" x14ac:dyDescent="0.3"/>
  <cols>
    <col min="1" max="1" width="16.5546875" customWidth="1"/>
    <col min="2" max="2" width="56.109375" customWidth="1"/>
    <col min="3" max="3" width="44.33203125" customWidth="1"/>
    <col min="4" max="4" width="88.44140625" customWidth="1"/>
  </cols>
  <sheetData>
    <row r="1" spans="1:4" x14ac:dyDescent="0.3">
      <c r="A1" s="1" t="s">
        <v>31</v>
      </c>
      <c r="B1" s="1" t="s">
        <v>32</v>
      </c>
      <c r="C1" s="1" t="s">
        <v>33</v>
      </c>
      <c r="D1" s="1" t="s">
        <v>34</v>
      </c>
    </row>
    <row r="2" spans="1:4" ht="43.2" x14ac:dyDescent="0.3">
      <c r="A2" s="2" t="s">
        <v>35</v>
      </c>
      <c r="B2" s="2" t="s">
        <v>97</v>
      </c>
      <c r="C2" s="2" t="s">
        <v>83</v>
      </c>
      <c r="D2" s="2" t="s">
        <v>112</v>
      </c>
    </row>
    <row r="3" spans="1:4" ht="72" x14ac:dyDescent="0.3">
      <c r="A3" s="2" t="s">
        <v>36</v>
      </c>
      <c r="B3" s="2" t="s">
        <v>96</v>
      </c>
      <c r="C3" s="2" t="s">
        <v>98</v>
      </c>
      <c r="D3" s="2" t="s">
        <v>84</v>
      </c>
    </row>
    <row r="4" spans="1:4" ht="28.8" x14ac:dyDescent="0.3">
      <c r="A4" s="2" t="s">
        <v>37</v>
      </c>
      <c r="B4" s="2" t="s">
        <v>80</v>
      </c>
      <c r="C4" s="2" t="s">
        <v>38</v>
      </c>
      <c r="D4" s="2" t="s">
        <v>85</v>
      </c>
    </row>
    <row r="5" spans="1:4" ht="43.2" x14ac:dyDescent="0.3">
      <c r="A5" s="2" t="s">
        <v>39</v>
      </c>
      <c r="B5" s="2" t="s">
        <v>81</v>
      </c>
      <c r="C5" s="2" t="s">
        <v>86</v>
      </c>
      <c r="D5" s="2" t="s">
        <v>87</v>
      </c>
    </row>
    <row r="6" spans="1:4" ht="43.2" x14ac:dyDescent="0.3">
      <c r="A6" s="2" t="s">
        <v>40</v>
      </c>
      <c r="B6" s="2" t="s">
        <v>88</v>
      </c>
      <c r="C6" s="2" t="s">
        <v>89</v>
      </c>
      <c r="D6" s="2" t="s">
        <v>90</v>
      </c>
    </row>
    <row r="7" spans="1:4" ht="43.2" x14ac:dyDescent="0.3">
      <c r="A7" s="2" t="s">
        <v>41</v>
      </c>
      <c r="B7" s="2" t="s">
        <v>91</v>
      </c>
      <c r="C7" s="2" t="s">
        <v>92</v>
      </c>
      <c r="D7" s="2" t="s">
        <v>93</v>
      </c>
    </row>
    <row r="8" spans="1:4" ht="43.2" x14ac:dyDescent="0.3">
      <c r="A8" s="2" t="s">
        <v>42</v>
      </c>
      <c r="B8" s="2" t="s">
        <v>82</v>
      </c>
      <c r="C8" s="2" t="s">
        <v>94</v>
      </c>
      <c r="D8" s="2" t="s">
        <v>95</v>
      </c>
    </row>
    <row r="9" spans="1:4" x14ac:dyDescent="0.3">
      <c r="A9" s="20" t="s">
        <v>110</v>
      </c>
      <c r="B9" s="20"/>
      <c r="C9" s="20"/>
      <c r="D9" s="20"/>
    </row>
  </sheetData>
  <mergeCells count="1">
    <mergeCell ref="A9:D9"/>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447137-0428-4C68-B36E-CC07ACB14791}">
  <sheetPr codeName="Sheet4"/>
  <dimension ref="A1:G7"/>
  <sheetViews>
    <sheetView topLeftCell="A2" workbookViewId="0">
      <selection activeCell="C13" sqref="C13"/>
    </sheetView>
  </sheetViews>
  <sheetFormatPr defaultRowHeight="14.4" x14ac:dyDescent="0.3"/>
  <cols>
    <col min="1" max="1" width="24.5546875" customWidth="1"/>
    <col min="2" max="2" width="13.44140625" customWidth="1"/>
    <col min="3" max="3" width="14.33203125" customWidth="1"/>
    <col min="4" max="4" width="14.5546875" customWidth="1"/>
    <col min="5" max="5" width="37.109375" customWidth="1"/>
    <col min="6" max="6" width="43.6640625" customWidth="1"/>
    <col min="7" max="7" width="69.6640625" customWidth="1"/>
  </cols>
  <sheetData>
    <row r="1" spans="1:7" ht="43.2" x14ac:dyDescent="0.3">
      <c r="A1" s="1" t="s">
        <v>45</v>
      </c>
      <c r="B1" s="1" t="s">
        <v>76</v>
      </c>
      <c r="C1" s="1" t="s">
        <v>77</v>
      </c>
      <c r="D1" s="1" t="s">
        <v>46</v>
      </c>
      <c r="E1" s="1" t="s">
        <v>47</v>
      </c>
      <c r="F1" s="1" t="s">
        <v>48</v>
      </c>
      <c r="G1" s="1" t="s">
        <v>49</v>
      </c>
    </row>
    <row r="2" spans="1:7" ht="43.2" x14ac:dyDescent="0.3">
      <c r="A2" s="2" t="s">
        <v>50</v>
      </c>
      <c r="B2" s="2" t="s">
        <v>51</v>
      </c>
      <c r="C2" s="2" t="s">
        <v>4</v>
      </c>
      <c r="D2" s="3" t="s">
        <v>67</v>
      </c>
      <c r="E2" s="2" t="s">
        <v>65</v>
      </c>
      <c r="F2" s="2" t="s">
        <v>52</v>
      </c>
      <c r="G2" s="2" t="s">
        <v>53</v>
      </c>
    </row>
    <row r="3" spans="1:7" ht="28.8" x14ac:dyDescent="0.3">
      <c r="A3" s="2" t="s">
        <v>54</v>
      </c>
      <c r="B3" s="2" t="s">
        <v>55</v>
      </c>
      <c r="C3" s="2" t="s">
        <v>7</v>
      </c>
      <c r="D3" s="2" t="s">
        <v>65</v>
      </c>
      <c r="E3" s="3" t="s">
        <v>68</v>
      </c>
      <c r="F3" s="2" t="s">
        <v>56</v>
      </c>
      <c r="G3" s="2" t="s">
        <v>57</v>
      </c>
    </row>
    <row r="4" spans="1:7" ht="86.4" x14ac:dyDescent="0.3">
      <c r="A4" s="2" t="s">
        <v>58</v>
      </c>
      <c r="B4" s="2" t="s">
        <v>79</v>
      </c>
      <c r="C4" s="2" t="s">
        <v>74</v>
      </c>
      <c r="D4" s="2" t="s">
        <v>65</v>
      </c>
      <c r="E4" s="3" t="s">
        <v>74</v>
      </c>
      <c r="F4" s="3" t="s">
        <v>75</v>
      </c>
      <c r="G4" s="3" t="s">
        <v>73</v>
      </c>
    </row>
    <row r="5" spans="1:7" ht="28.8" x14ac:dyDescent="0.3">
      <c r="A5" s="2" t="s">
        <v>59</v>
      </c>
      <c r="B5" s="2" t="s">
        <v>60</v>
      </c>
      <c r="C5" s="2" t="s">
        <v>11</v>
      </c>
      <c r="D5" s="2" t="s">
        <v>65</v>
      </c>
      <c r="E5" s="3" t="s">
        <v>69</v>
      </c>
      <c r="F5" s="2" t="s">
        <v>61</v>
      </c>
      <c r="G5" s="2" t="s">
        <v>62</v>
      </c>
    </row>
    <row r="6" spans="1:7" ht="43.2" x14ac:dyDescent="0.3">
      <c r="A6" s="2" t="s">
        <v>63</v>
      </c>
      <c r="B6" s="2" t="s">
        <v>64</v>
      </c>
      <c r="C6" s="2" t="s">
        <v>78</v>
      </c>
      <c r="D6" s="2" t="s">
        <v>70</v>
      </c>
      <c r="E6" s="3" t="s">
        <v>71</v>
      </c>
      <c r="F6" s="2" t="s">
        <v>72</v>
      </c>
      <c r="G6" s="2" t="s">
        <v>66</v>
      </c>
    </row>
    <row r="7" spans="1:7" x14ac:dyDescent="0.3">
      <c r="A7" s="20" t="s">
        <v>111</v>
      </c>
      <c r="B7" s="20"/>
      <c r="C7" s="20"/>
      <c r="D7" s="20"/>
      <c r="E7" s="20"/>
      <c r="F7" s="20"/>
      <c r="G7" s="20"/>
    </row>
  </sheetData>
  <mergeCells count="1">
    <mergeCell ref="A7:G7"/>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Gamma_self Calc</vt:lpstr>
      <vt:lpstr>ai_drift_demo_M1</vt:lpstr>
      <vt:lpstr>Constants</vt:lpstr>
      <vt:lpstr>GRP Equation</vt:lpstr>
      <vt:lpstr>Primitive-&gt;gamma_self</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Jeff Ganger</dc:creator>
  <cp:lastModifiedBy>Jeff Ganger</cp:lastModifiedBy>
  <dcterms:created xsi:type="dcterms:W3CDTF">2025-12-21T15:23:51Z</dcterms:created>
  <dcterms:modified xsi:type="dcterms:W3CDTF">2025-12-30T01:01:53Z</dcterms:modified>
</cp:coreProperties>
</file>