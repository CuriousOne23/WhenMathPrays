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5E0A94E7-6F1B-428D-A252-4A555D288081}" xr6:coauthVersionLast="47" xr6:coauthVersionMax="47" xr10:uidLastSave="{00000000-0000-0000-0000-000000000000}"/>
  <bookViews>
    <workbookView xWindow="0" yWindow="636" windowWidth="13176" windowHeight="12180" xr2:uid="{BDC9F35F-0710-4C80-B890-2C14A82C5ADF}"/>
  </bookViews>
  <sheets>
    <sheet name="Gamma_self Calc" sheetId="4" r:id="rId1"/>
    <sheet name="ai_drift_demo_M1" sheetId="16" r:id="rId2"/>
    <sheet name="Constants" sheetId="1" r:id="rId3"/>
    <sheet name="GRP Equation" sheetId="2" r:id="rId4"/>
    <sheet name="Primitive-&gt;gamma_self" sheetId="3" r:id="rId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4" i="4" l="1"/>
  <c r="C32" i="4"/>
  <c r="C27" i="4"/>
  <c r="C28" i="4"/>
  <c r="C31" i="4" a="1"/>
  <c r="C30" i="4"/>
  <c r="C33" i="4"/>
  <c r="C31" i="4" l="1"/>
  <c r="B52" i="4" a="1"/>
  <c r="B45" i="4" a="1"/>
  <c r="B43" i="4" a="1"/>
  <c r="B60" i="4" a="1"/>
  <c r="B57" i="4" a="1"/>
  <c r="B46" i="4" a="1"/>
  <c r="B58" i="4" a="1"/>
  <c r="B48" i="4" a="1"/>
  <c r="B53" i="4" a="1"/>
  <c r="B44" i="4" a="1"/>
  <c r="B47" i="4" a="1"/>
  <c r="B41" i="4" a="1"/>
  <c r="B59" i="4" a="1"/>
  <c r="B40" i="4" a="1"/>
  <c r="B179" i="4" a="1"/>
  <c r="B484" i="4" a="1"/>
  <c r="B97" i="4" a="1"/>
  <c r="B407" i="4" a="1"/>
  <c r="B50" i="4" a="1"/>
  <c r="B56" i="4" a="1"/>
  <c r="B54" i="4" a="1"/>
  <c r="B42" i="4" a="1"/>
  <c r="B59" i="4" l="1"/>
  <c r="B52" i="4"/>
  <c r="B47" i="4"/>
  <c r="B42" i="4"/>
  <c r="B44" i="4"/>
  <c r="B53" i="4"/>
  <c r="B54" i="4"/>
  <c r="B48" i="4"/>
  <c r="B56" i="4"/>
  <c r="B50" i="4"/>
  <c r="B58" i="4"/>
  <c r="B46" i="4"/>
  <c r="B57" i="4"/>
  <c r="B60" i="4"/>
  <c r="B43" i="4"/>
  <c r="B45" i="4"/>
  <c r="B41" i="4"/>
  <c r="B40" i="4"/>
  <c r="B179" i="4"/>
  <c r="B484" i="4"/>
  <c r="B97" i="4"/>
  <c r="B407" i="4"/>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209" i="4" a="1"/>
  <c r="C209"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B364" i="4" a="1"/>
  <c r="B273" i="4" a="1"/>
  <c r="B298" i="4" a="1"/>
  <c r="B245" i="4" a="1"/>
  <c r="B79" i="4" a="1"/>
  <c r="B145" i="4" a="1"/>
  <c r="B481" i="4" a="1"/>
  <c r="B210" i="4" a="1"/>
  <c r="B337" i="4" a="1"/>
  <c r="B253" i="4" a="1"/>
  <c r="B466" i="4" a="1"/>
  <c r="B73" i="4" a="1"/>
  <c r="B239" i="4" a="1"/>
  <c r="B353" i="4" a="1"/>
  <c r="B163" i="4" a="1"/>
  <c r="B55" i="4" a="1"/>
  <c r="B82" i="4" a="1"/>
  <c r="B329" i="4" a="1"/>
  <c r="B155" i="4" a="1"/>
  <c r="B225" i="4" a="1"/>
  <c r="B187" i="4" a="1"/>
  <c r="B404" i="4" a="1"/>
  <c r="B375" i="4" a="1"/>
  <c r="B444" i="4" a="1"/>
  <c r="B410" i="4" a="1"/>
  <c r="B449" i="4" a="1"/>
  <c r="B202" i="4" a="1"/>
  <c r="B474" i="4" a="1"/>
  <c r="B442" i="4" a="1"/>
  <c r="B473" i="4" a="1"/>
  <c r="B338" i="4" a="1"/>
  <c r="B401" i="4" a="1"/>
  <c r="B366" i="4" a="1"/>
  <c r="B527" i="4" a="1"/>
  <c r="B130" i="4" a="1"/>
  <c r="B345" i="4" a="1"/>
  <c r="B51" i="4" a="1"/>
  <c r="B531" i="4" a="1"/>
  <c r="B314" i="4" a="1"/>
  <c r="B514" i="4" a="1"/>
  <c r="B330" i="4" a="1"/>
  <c r="B275" i="4" a="1"/>
  <c r="B441" i="4" a="1"/>
  <c r="B498" i="4" a="1"/>
  <c r="B450" i="4" a="1"/>
  <c r="B419" i="4" a="1"/>
  <c r="B465" i="4" a="1"/>
  <c r="B153" i="4" a="1"/>
  <c r="B321" i="4" a="1"/>
  <c r="B458" i="4" a="1"/>
  <c r="B315" i="4" a="1"/>
  <c r="B238" i="4" a="1"/>
  <c r="B71" i="4" a="1"/>
  <c r="B420" i="4" a="1"/>
  <c r="B457" i="4" a="1"/>
  <c r="B125" i="4" a="1"/>
  <c r="B230" i="4" a="1"/>
  <c r="B102" i="4" a="1"/>
  <c r="B170" i="4" a="1"/>
  <c r="B49" i="4" a="1"/>
  <c r="B307" i="4" a="1"/>
  <c r="B327" i="4" a="1"/>
  <c r="B66" i="4" a="1"/>
  <c r="B313" i="4" a="1"/>
  <c r="B471" i="4" a="1"/>
  <c r="B193" i="4" a="1"/>
  <c r="B185" i="4" a="1"/>
  <c r="B381" i="4" a="1"/>
  <c r="B252" i="4" a="1"/>
  <c r="B217" i="4" a="1"/>
  <c r="B201" i="4" a="1"/>
  <c r="B415" i="4" a="1"/>
  <c r="B482" i="4" a="1"/>
  <c r="B380" i="4" a="1"/>
  <c r="B435" i="4" a="1"/>
  <c r="B74" i="4" a="1"/>
  <c r="B117" i="4" a="1"/>
  <c r="B147" i="4" a="1"/>
  <c r="B372" i="4" a="1"/>
  <c r="B124" i="4" a="1"/>
  <c r="B178" i="4" a="1"/>
  <c r="B291" i="4" a="1"/>
  <c r="B374" i="4" a="1"/>
  <c r="B89" i="4" a="1"/>
  <c r="B49" i="4" l="1"/>
  <c r="B51" i="4"/>
  <c r="B55" i="4"/>
  <c r="B441" i="4"/>
  <c r="B275" i="4"/>
  <c r="B79" i="4"/>
  <c r="B170" i="4"/>
  <c r="B125" i="4"/>
  <c r="B124" i="4"/>
  <c r="B338" i="4"/>
  <c r="B435" i="4"/>
  <c r="B482" i="4"/>
  <c r="B202" i="4"/>
  <c r="B375" i="4"/>
  <c r="B313" i="4"/>
  <c r="B330" i="4"/>
  <c r="B245" i="4"/>
  <c r="B374" i="4"/>
  <c r="B239" i="4"/>
  <c r="B366" i="4"/>
  <c r="B466" i="4"/>
  <c r="B117" i="4"/>
  <c r="B458" i="4"/>
  <c r="B410" i="4"/>
  <c r="B66" i="4"/>
  <c r="B514" i="4"/>
  <c r="B155" i="4"/>
  <c r="B298" i="4"/>
  <c r="B163" i="4"/>
  <c r="B130" i="4"/>
  <c r="B178" i="4"/>
  <c r="B372" i="4"/>
  <c r="B380" i="4"/>
  <c r="B201" i="4"/>
  <c r="B145" i="4"/>
  <c r="B327" i="4"/>
  <c r="B314" i="4"/>
  <c r="B291" i="4"/>
  <c r="B527" i="4"/>
  <c r="B420" i="4"/>
  <c r="B401" i="4"/>
  <c r="B442" i="4"/>
  <c r="B217" i="4"/>
  <c r="B404" i="4"/>
  <c r="B364" i="4"/>
  <c r="B345" i="4"/>
  <c r="B353" i="4"/>
  <c r="B457" i="4"/>
  <c r="B450" i="4"/>
  <c r="B381" i="4"/>
  <c r="B193" i="4"/>
  <c r="B82" i="4"/>
  <c r="B185" i="4"/>
  <c r="B253" i="4"/>
  <c r="B465" i="4"/>
  <c r="B74" i="4"/>
  <c r="B321" i="4"/>
  <c r="B71" i="4"/>
  <c r="B252" i="4"/>
  <c r="B153" i="4"/>
  <c r="B415" i="4"/>
  <c r="B473" i="4"/>
  <c r="B419" i="4"/>
  <c r="B471" i="4"/>
  <c r="B147" i="4"/>
  <c r="B273" i="4"/>
  <c r="B230" i="4"/>
  <c r="B449" i="4"/>
  <c r="B187" i="4"/>
  <c r="B225" i="4"/>
  <c r="B337" i="4"/>
  <c r="B102" i="4"/>
  <c r="B210" i="4"/>
  <c r="B73" i="4"/>
  <c r="B498" i="4"/>
  <c r="B315" i="4"/>
  <c r="B481" i="4"/>
  <c r="B307" i="4"/>
  <c r="B531" i="4"/>
  <c r="B474" i="4"/>
  <c r="B238" i="4"/>
  <c r="B89" i="4"/>
  <c r="B329" i="4"/>
  <c r="B444" i="4"/>
  <c r="E300" i="4" l="1"/>
  <c r="D300" i="4" l="1"/>
  <c r="B356" i="4" a="1"/>
  <c r="B112" i="4" a="1"/>
  <c r="B513" i="4" a="1"/>
  <c r="B263" i="4" a="1"/>
  <c r="B189" i="4" a="1"/>
  <c r="B195" i="4" a="1"/>
  <c r="B526" i="4" a="1"/>
  <c r="B141" i="4" a="1"/>
  <c r="B188" i="4" a="1"/>
  <c r="B317" i="4" a="1"/>
  <c r="B203" i="4" a="1"/>
  <c r="B76" i="4" a="1"/>
  <c r="B116" i="4" a="1"/>
  <c r="B139" i="4" a="1"/>
  <c r="B114" i="4" a="1"/>
  <c r="B334" i="4" a="1"/>
  <c r="B276" i="4" a="1"/>
  <c r="B126" i="4" a="1"/>
  <c r="B326" i="4" a="1"/>
  <c r="B507" i="4" a="1"/>
  <c r="B453" i="4" a="1"/>
  <c r="B367" i="4" a="1"/>
  <c r="B522" i="4" a="1"/>
  <c r="B341" i="4" a="1"/>
  <c r="B80" i="4" a="1"/>
  <c r="B251" i="4" a="1"/>
  <c r="B368" i="4" a="1"/>
  <c r="B240" i="4" a="1"/>
  <c r="B183" i="4" a="1"/>
  <c r="B370" i="4" a="1"/>
  <c r="B496" i="4" a="1"/>
  <c r="B532" i="4" a="1"/>
  <c r="B300" i="4" a="1"/>
  <c r="B244" i="4" a="1"/>
  <c r="B347" i="4" a="1"/>
  <c r="B472" i="4" a="1"/>
  <c r="B483" i="4" a="1"/>
  <c r="B402" i="4" a="1"/>
  <c r="B428" i="4" a="1"/>
  <c r="B282" i="4" a="1"/>
  <c r="B69" i="4" a="1"/>
  <c r="B361" i="4" a="1"/>
  <c r="B433" i="4" a="1"/>
  <c r="B493" i="4" a="1"/>
  <c r="B247" i="4" a="1"/>
  <c r="B254" i="4" a="1"/>
  <c r="B255" i="4" a="1"/>
  <c r="B512" i="4" a="1"/>
  <c r="B261" i="4" a="1"/>
  <c r="B426" i="4" a="1"/>
  <c r="B138" i="4" a="1"/>
  <c r="B267" i="4" a="1"/>
  <c r="B305" i="4" a="1"/>
  <c r="B431" i="4" a="1"/>
  <c r="B339" i="4" a="1"/>
  <c r="B388" i="4" a="1"/>
  <c r="B403" i="4" a="1"/>
  <c r="B287" i="4" a="1"/>
  <c r="B133" i="4" a="1"/>
  <c r="B128" i="4" a="1"/>
  <c r="B121" i="4" a="1"/>
  <c r="B464" i="4" a="1"/>
  <c r="B446" i="4" a="1"/>
  <c r="B467" i="4" a="1"/>
  <c r="B328" i="4" a="1"/>
  <c r="B342" i="4" a="1"/>
  <c r="B194" i="4" a="1"/>
  <c r="B440" i="4" a="1"/>
  <c r="B520" i="4" a="1"/>
  <c r="B477" i="4" a="1"/>
  <c r="B131" i="4" a="1"/>
  <c r="B475" i="4" a="1"/>
  <c r="B64" i="4" a="1"/>
  <c r="B249" i="4" a="1"/>
  <c r="B134" i="4" a="1"/>
  <c r="B422" i="4" a="1"/>
  <c r="B489" i="4" a="1"/>
  <c r="B378" i="4" a="1"/>
  <c r="B200" i="4" a="1"/>
  <c r="B396" i="4" a="1"/>
  <c r="B425" i="4" a="1"/>
  <c r="B417" i="4" a="1"/>
  <c r="B262" i="4" a="1"/>
  <c r="B176" i="4" a="1"/>
  <c r="B363" i="4" a="1"/>
  <c r="B166" i="4" a="1"/>
  <c r="B430" i="4" a="1"/>
  <c r="B259" i="4" a="1"/>
  <c r="B120" i="4" a="1"/>
  <c r="B164" i="4" a="1"/>
  <c r="B325" i="4" a="1"/>
  <c r="B62" i="4" a="1"/>
  <c r="B123" i="4" a="1"/>
  <c r="B285" i="4" a="1"/>
  <c r="B248" i="4" a="1"/>
  <c r="B173" i="4" a="1"/>
  <c r="B436" i="4" a="1"/>
  <c r="B311" i="4" a="1"/>
  <c r="B108" i="4" a="1"/>
  <c r="B96" i="4" a="1"/>
  <c r="B499" i="4" a="1"/>
  <c r="B65" i="4" a="1"/>
  <c r="B335" i="4" a="1"/>
  <c r="B137" i="4" a="1"/>
  <c r="B299" i="4" a="1"/>
  <c r="B476" i="4" a="1"/>
  <c r="B171" i="4" a="1"/>
  <c r="B319" i="4" a="1"/>
  <c r="B279" i="4" a="1"/>
  <c r="B490" i="4" a="1"/>
  <c r="B344" i="4" a="1"/>
  <c r="B524" i="4" a="1"/>
  <c r="B416" i="4" a="1"/>
  <c r="B219" i="4" a="1"/>
  <c r="B63" i="4" a="1"/>
  <c r="B534" i="4" a="1"/>
  <c r="B87" i="4" a="1"/>
  <c r="B214" i="4" a="1"/>
  <c r="B359" i="4" a="1"/>
  <c r="B286" i="4" a="1"/>
  <c r="B418" i="4" a="1"/>
  <c r="B75" i="4" a="1"/>
  <c r="B369" i="4" a="1"/>
  <c r="B99" i="4" a="1"/>
  <c r="B181" i="4" a="1"/>
  <c r="B205" i="4" a="1"/>
  <c r="B516" i="4" a="1"/>
  <c r="B443" i="4" a="1"/>
  <c r="B151" i="4" a="1"/>
  <c r="B349" i="4" a="1"/>
  <c r="B119" i="4" a="1"/>
  <c r="B343" i="4" a="1"/>
  <c r="B394" i="4" a="1"/>
  <c r="B399" i="4" a="1"/>
  <c r="B406" i="4" a="1"/>
  <c r="B495" i="4" a="1"/>
  <c r="B423" i="4" a="1"/>
  <c r="B237" i="4" a="1"/>
  <c r="B243" i="4" a="1"/>
  <c r="B309" i="4" a="1"/>
  <c r="B296" i="4" a="1"/>
  <c r="B268" i="4" a="1"/>
  <c r="B398" i="4" a="1"/>
  <c r="B142" i="4" a="1"/>
  <c r="B215" i="4" a="1"/>
  <c r="B497" i="4" a="1"/>
  <c r="B101" i="4" a="1"/>
  <c r="B528" i="4" a="1"/>
  <c r="B324" i="4" a="1"/>
  <c r="B77" i="4" a="1"/>
  <c r="B385" i="4" a="1"/>
  <c r="B280" i="4" a="1"/>
  <c r="B518" i="4" a="1"/>
  <c r="B160" i="4" a="1"/>
  <c r="B379" i="4" a="1"/>
  <c r="B391" i="4" a="1"/>
  <c r="B136" i="4" a="1"/>
  <c r="B264" i="4" a="1"/>
  <c r="B448" i="4" a="1"/>
  <c r="B190" i="4" a="1"/>
  <c r="B460" i="4" a="1"/>
  <c r="B78" i="4" a="1"/>
  <c r="B523" i="4" a="1"/>
  <c r="B257" i="4" a="1"/>
  <c r="B405" i="4" a="1"/>
  <c r="B414" i="4" a="1"/>
  <c r="B331" i="4" a="1"/>
  <c r="B270" i="4" a="1"/>
  <c r="B290" i="4" a="1"/>
  <c r="B437" i="4" a="1"/>
  <c r="B478" i="4" a="1"/>
  <c r="B162" i="4" a="1"/>
  <c r="B212" i="4" a="1"/>
  <c r="B383" i="4" a="1"/>
  <c r="B382" i="4" a="1"/>
  <c r="B118" i="4" a="1"/>
  <c r="B521" i="4" a="1"/>
  <c r="B278" i="4" a="1"/>
  <c r="B168" i="4" a="1"/>
  <c r="B302" i="4" a="1"/>
  <c r="B157" i="4" a="1"/>
  <c r="B70" i="4" a="1"/>
  <c r="B297" i="4" a="1"/>
  <c r="B469" i="4" a="1"/>
  <c r="B150" i="4" a="1"/>
  <c r="B411" i="4" a="1"/>
  <c r="B333" i="4" a="1"/>
  <c r="B84" i="4" a="1"/>
  <c r="B211" i="4" a="1"/>
  <c r="B91" i="4" a="1"/>
  <c r="B306" i="4" a="1"/>
  <c r="B360" i="4" a="1"/>
  <c r="B362" i="4" a="1"/>
  <c r="B129" i="4" a="1"/>
  <c r="B340" i="4" a="1"/>
  <c r="B312" i="4" a="1"/>
  <c r="B229" i="4" a="1"/>
  <c r="B389" i="4" a="1"/>
  <c r="B234" i="4" a="1"/>
  <c r="B504" i="4" a="1"/>
  <c r="B68" i="4" a="1"/>
  <c r="B517" i="4" a="1"/>
  <c r="B265" i="4" a="1"/>
  <c r="B86" i="4" a="1"/>
  <c r="B122" i="4" a="1"/>
  <c r="B241" i="4" a="1"/>
  <c r="B451" i="4" a="1"/>
  <c r="B207" i="4" a="1"/>
  <c r="B222" i="4" a="1"/>
  <c r="B158" i="4" a="1"/>
  <c r="B355" i="4" a="1"/>
  <c r="B258" i="4" a="1"/>
  <c r="B177" i="4" a="1"/>
  <c r="B232" i="4" a="1"/>
  <c r="B196" i="4" a="1"/>
  <c r="B216" i="4" a="1"/>
  <c r="B351" i="4" a="1"/>
  <c r="B284" i="4" a="1"/>
  <c r="B429" i="4" a="1"/>
  <c r="B506" i="4" a="1"/>
  <c r="B525" i="4" a="1"/>
  <c r="B227" i="4" a="1"/>
  <c r="B408" i="4" a="1"/>
  <c r="B106" i="4" a="1"/>
  <c r="B346" i="4" a="1"/>
  <c r="B479" i="4" a="1"/>
  <c r="B322" i="4" a="1"/>
  <c r="B107" i="4" a="1"/>
  <c r="B515" i="4" a="1"/>
  <c r="B390" i="4" a="1"/>
  <c r="B358" i="4" a="1"/>
  <c r="B281" i="4" a="1"/>
  <c r="B459" i="4" a="1"/>
  <c r="B152" i="4" a="1"/>
  <c r="B373" i="4" a="1"/>
  <c r="B246" i="4" a="1"/>
  <c r="B159" i="4" a="1"/>
  <c r="B432" i="4" a="1"/>
  <c r="B233" i="4" a="1"/>
  <c r="B148" i="4" a="1"/>
  <c r="B93" i="4" a="1"/>
  <c r="B438" i="4" a="1"/>
  <c r="B98" i="4" a="1"/>
  <c r="B271" i="4" a="1"/>
  <c r="B67" i="4" a="1"/>
  <c r="B485" i="4" a="1"/>
  <c r="B509" i="4" a="1"/>
  <c r="B182" i="4" a="1"/>
  <c r="B221" i="4" a="1"/>
  <c r="B143" i="4" a="1"/>
  <c r="B180" i="4" a="1"/>
  <c r="B175" i="4" a="1"/>
  <c r="B308" i="4" a="1"/>
  <c r="B468" i="4" a="1"/>
  <c r="B224" i="4" a="1"/>
  <c r="B100" i="4" a="1"/>
  <c r="B204" i="4" a="1"/>
  <c r="B413" i="4" a="1"/>
  <c r="B332" i="4" a="1"/>
  <c r="B427" i="4" a="1"/>
  <c r="B503" i="4" a="1"/>
  <c r="B445" i="4" a="1"/>
  <c r="B470" i="4" a="1"/>
  <c r="B400" i="4" a="1"/>
  <c r="B269" i="4" a="1"/>
  <c r="B502" i="4" a="1"/>
  <c r="B277" i="4" a="1"/>
  <c r="B508" i="4" a="1"/>
  <c r="B156" i="4" a="1"/>
  <c r="B487" i="4" a="1"/>
  <c r="B289" i="4" a="1"/>
  <c r="B235" i="4" a="1"/>
  <c r="B529" i="4" a="1"/>
  <c r="B491" i="4" a="1"/>
  <c r="B90" i="4" a="1"/>
  <c r="B510" i="4" a="1"/>
  <c r="B191" i="4" a="1"/>
  <c r="B260" i="4" a="1"/>
  <c r="B72" i="4" a="1"/>
  <c r="B88" i="4" a="1"/>
  <c r="C40" i="4" a="1"/>
  <c r="B154" i="4" a="1"/>
  <c r="B161" i="4" a="1"/>
  <c r="B110" i="4" a="1"/>
  <c r="B283" i="4" a="1"/>
  <c r="B505" i="4" a="1"/>
  <c r="B192" i="4" a="1"/>
  <c r="B452" i="4" a="1"/>
  <c r="B371" i="4" a="1"/>
  <c r="B456" i="4" a="1"/>
  <c r="B500" i="4" a="1"/>
  <c r="B140" i="4" a="1"/>
  <c r="B488" i="4" a="1"/>
  <c r="B409" i="4" a="1"/>
  <c r="B352" i="4" a="1"/>
  <c r="B85" i="4" a="1"/>
  <c r="B213" i="4" a="1"/>
  <c r="B439" i="4" a="1"/>
  <c r="B323" i="4" a="1"/>
  <c r="B304" i="4" a="1"/>
  <c r="B463" i="4" a="1"/>
  <c r="B113" i="4" a="1"/>
  <c r="B208" i="4" a="1"/>
  <c r="B455" i="4" a="1"/>
  <c r="B310" i="4" a="1"/>
  <c r="B454" i="4" a="1"/>
  <c r="B395" i="4" a="1"/>
  <c r="B206" i="4" a="1"/>
  <c r="B288" i="4" a="1"/>
  <c r="B95" i="4" a="1"/>
  <c r="B301" i="4" a="1"/>
  <c r="B533" i="4" a="1"/>
  <c r="B197" i="4" a="1"/>
  <c r="B303" i="4" a="1"/>
  <c r="B174" i="4" a="1"/>
  <c r="B220" i="4" a="1"/>
  <c r="B167" i="4" a="1"/>
  <c r="B480" i="4" a="1"/>
  <c r="B242" i="4" a="1"/>
  <c r="B501" i="4" a="1"/>
  <c r="B447" i="4" a="1"/>
  <c r="B386" i="4" a="1"/>
  <c r="B421" i="4" a="1"/>
  <c r="B492" i="4" a="1"/>
  <c r="B266" i="4" a="1"/>
  <c r="B144" i="4" a="1"/>
  <c r="B320" i="4" a="1"/>
  <c r="B218" i="4" a="1"/>
  <c r="B365" i="4" a="1"/>
  <c r="B272" i="4" a="1"/>
  <c r="B461" i="4" a="1"/>
  <c r="B256" i="4" a="1"/>
  <c r="B111" i="4" a="1"/>
  <c r="B92" i="4" a="1"/>
  <c r="B274" i="4" a="1"/>
  <c r="B462" i="4" a="1"/>
  <c r="B293" i="4" a="1"/>
  <c r="B226" i="4" a="1"/>
  <c r="B109" i="4" a="1"/>
  <c r="B316" i="4" a="1"/>
  <c r="B209" i="4" a="1"/>
  <c r="B231" i="4" a="1"/>
  <c r="B169" i="4" a="1"/>
  <c r="B105" i="4" a="1"/>
  <c r="B199" i="4" a="1"/>
  <c r="B198" i="4" a="1"/>
  <c r="B377" i="4" a="1"/>
  <c r="B397" i="4" a="1"/>
  <c r="B236" i="4" a="1"/>
  <c r="B318" i="4" a="1"/>
  <c r="B357" i="4" a="1"/>
  <c r="B348" i="4" a="1"/>
  <c r="B81" i="4" a="1"/>
  <c r="B292" i="4" a="1"/>
  <c r="B387" i="4" a="1"/>
  <c r="B294" i="4" a="1"/>
  <c r="B115" i="4" a="1"/>
  <c r="B336" i="4" a="1"/>
  <c r="B223" i="4" a="1"/>
  <c r="B350" i="4" a="1"/>
  <c r="B186" i="4" a="1"/>
  <c r="B135" i="4" a="1"/>
  <c r="B295" i="4" a="1"/>
  <c r="B354" i="4" a="1"/>
  <c r="B486" i="4" a="1"/>
  <c r="B424" i="4" a="1"/>
  <c r="B94" i="4" a="1"/>
  <c r="B83" i="4" a="1"/>
  <c r="B530" i="4" a="1"/>
  <c r="B250" i="4" a="1"/>
  <c r="B104" i="4" a="1"/>
  <c r="B519" i="4" a="1"/>
  <c r="B61" i="4" a="1"/>
  <c r="B434" i="4" a="1"/>
  <c r="B184" i="4" a="1"/>
  <c r="B165" i="4" a="1"/>
  <c r="B376" i="4" a="1"/>
  <c r="B392" i="4" a="1"/>
  <c r="B127" i="4" a="1"/>
  <c r="B132" i="4" a="1"/>
  <c r="B384" i="4" a="1"/>
  <c r="B412" i="4" a="1"/>
  <c r="B103" i="4" a="1"/>
  <c r="B172" i="4" a="1"/>
  <c r="B393" i="4" a="1"/>
  <c r="B228" i="4" a="1"/>
  <c r="B494" i="4" a="1"/>
  <c r="B511" i="4" a="1"/>
  <c r="B146" i="4" a="1"/>
  <c r="B149" i="4" a="1"/>
  <c r="B424" i="4" l="1"/>
  <c r="B296" i="4"/>
  <c r="B504" i="4"/>
  <c r="B118" i="4"/>
  <c r="B224" i="4"/>
  <c r="B88" i="4"/>
  <c r="B445" i="4"/>
  <c r="B183" i="4"/>
  <c r="B405" i="4"/>
  <c r="B277" i="4"/>
  <c r="B308" i="4"/>
  <c r="B505" i="4"/>
  <c r="B491" i="4"/>
  <c r="B459" i="4"/>
  <c r="B455" i="4"/>
  <c r="B453" i="4"/>
  <c r="B214" i="4"/>
  <c r="B334" i="4"/>
  <c r="B312" i="4"/>
  <c r="B477" i="4"/>
  <c r="B69" i="4"/>
  <c r="B464" i="4"/>
  <c r="B133" i="4"/>
  <c r="B184" i="4"/>
  <c r="B167" i="4"/>
  <c r="B299" i="4"/>
  <c r="B122" i="4"/>
  <c r="B292" i="4"/>
  <c r="B373" i="4"/>
  <c r="B207" i="4"/>
  <c r="B517" i="4"/>
  <c r="B78" i="4"/>
  <c r="B75" i="4"/>
  <c r="B113" i="4"/>
  <c r="B446" i="4"/>
  <c r="B159" i="4"/>
  <c r="B377" i="4"/>
  <c r="B156" i="4"/>
  <c r="B243" i="4"/>
  <c r="B347" i="4"/>
  <c r="B422" i="4"/>
  <c r="B237" i="4"/>
  <c r="B447" i="4"/>
  <c r="B324" i="4"/>
  <c r="B388" i="4"/>
  <c r="B534" i="4"/>
  <c r="B303" i="4"/>
  <c r="B355" i="4"/>
  <c r="B219" i="4"/>
  <c r="B108" i="4"/>
  <c r="B320" i="4"/>
  <c r="B512" i="4"/>
  <c r="B288" i="4"/>
  <c r="B131" i="4"/>
  <c r="B129" i="4"/>
  <c r="B264" i="4"/>
  <c r="B247" i="4"/>
  <c r="B176" i="4"/>
  <c r="B72" i="4"/>
  <c r="B416" i="4"/>
  <c r="B515" i="4"/>
  <c r="B384" i="4"/>
  <c r="B134" i="4"/>
  <c r="B171" i="4"/>
  <c r="B62" i="4"/>
  <c r="B141" i="4"/>
  <c r="B451" i="4"/>
  <c r="B282" i="4"/>
  <c r="B61" i="4"/>
  <c r="B135" i="4"/>
  <c r="B310" i="4"/>
  <c r="B378" i="4"/>
  <c r="B385" i="4"/>
  <c r="B389" i="4"/>
  <c r="B128" i="4"/>
  <c r="B506" i="4"/>
  <c r="B349" i="4"/>
  <c r="B213" i="4"/>
  <c r="B200" i="4"/>
  <c r="B96" i="4"/>
  <c r="B262" i="4"/>
  <c r="B400" i="4"/>
  <c r="B151" i="4"/>
  <c r="B101" i="4"/>
  <c r="B332" i="4"/>
  <c r="B227" i="4"/>
  <c r="B399" i="4"/>
  <c r="B480" i="4"/>
  <c r="B402" i="4"/>
  <c r="B197" i="4"/>
  <c r="B220" i="4"/>
  <c r="B346" i="4"/>
  <c r="B85" i="4"/>
  <c r="B248" i="4"/>
  <c r="B206" i="4"/>
  <c r="B192" i="4"/>
  <c r="B478" i="4"/>
  <c r="B494" i="4"/>
  <c r="B263" i="4"/>
  <c r="B492" i="4"/>
  <c r="B255" i="4"/>
  <c r="B341" i="4"/>
  <c r="B469" i="4"/>
  <c r="B344" i="4"/>
  <c r="B116" i="4"/>
  <c r="B417" i="4"/>
  <c r="B358" i="4"/>
  <c r="B91" i="4"/>
  <c r="B64" i="4"/>
  <c r="B94" i="4"/>
  <c r="B413" i="4"/>
  <c r="B363" i="4"/>
  <c r="B328" i="4"/>
  <c r="B524" i="4"/>
  <c r="B234" i="4"/>
  <c r="B86" i="4"/>
  <c r="B221" i="4"/>
  <c r="B139" i="4"/>
  <c r="B218" i="4"/>
  <c r="B194" i="4"/>
  <c r="B111" i="4"/>
  <c r="B336" i="4"/>
  <c r="B257" i="4"/>
  <c r="B261" i="4"/>
  <c r="B454" i="4"/>
  <c r="B383" i="4"/>
  <c r="B191" i="4"/>
  <c r="B223" i="4"/>
  <c r="B287" i="4"/>
  <c r="B463" i="4"/>
  <c r="B340" i="4"/>
  <c r="B205" i="4"/>
  <c r="B305" i="4"/>
  <c r="B272" i="4"/>
  <c r="B65" i="4"/>
  <c r="B143" i="4"/>
  <c r="B434" i="4"/>
  <c r="B279" i="4"/>
  <c r="B448" i="4"/>
  <c r="B476" i="4"/>
  <c r="B154" i="4"/>
  <c r="B270" i="4"/>
  <c r="B304" i="4"/>
  <c r="B331" i="4"/>
  <c r="B105" i="4"/>
  <c r="B311" i="4"/>
  <c r="B392" i="4"/>
  <c r="B356" i="4"/>
  <c r="B306" i="4"/>
  <c r="B529" i="4"/>
  <c r="B211" i="4"/>
  <c r="B244" i="4"/>
  <c r="B362" i="4"/>
  <c r="B403" i="4"/>
  <c r="B182" i="4"/>
  <c r="B439" i="4"/>
  <c r="B121" i="4"/>
  <c r="B518" i="4"/>
  <c r="B508" i="4"/>
  <c r="B433" i="4"/>
  <c r="B297" i="4"/>
  <c r="B333" i="4"/>
  <c r="B87" i="4"/>
  <c r="B493" i="4"/>
  <c r="B398" i="4"/>
  <c r="B470" i="4"/>
  <c r="B387" i="4"/>
  <c r="B90" i="4"/>
  <c r="B196" i="4"/>
  <c r="B268" i="4"/>
  <c r="B189" i="4"/>
  <c r="B198" i="4"/>
  <c r="B523" i="4"/>
  <c r="B199" i="4"/>
  <c r="B148" i="4"/>
  <c r="B530" i="4"/>
  <c r="B395" i="4"/>
  <c r="B67" i="4"/>
  <c r="B511" i="4"/>
  <c r="B486" i="4"/>
  <c r="B137" i="4"/>
  <c r="B418" i="4"/>
  <c r="B516" i="4"/>
  <c r="B431" i="4"/>
  <c r="B368" i="4"/>
  <c r="B104" i="4"/>
  <c r="B254" i="4"/>
  <c r="B180" i="4"/>
  <c r="B390" i="4"/>
  <c r="B521" i="4"/>
  <c r="B396" i="4"/>
  <c r="B323" i="4"/>
  <c r="B175" i="4"/>
  <c r="B222" i="4"/>
  <c r="B479" i="4"/>
  <c r="B376" i="4"/>
  <c r="B209" i="4"/>
  <c r="B509" i="4"/>
  <c r="B81" i="4"/>
  <c r="B293" i="4"/>
  <c r="B472" i="4"/>
  <c r="B483" i="4"/>
  <c r="B177" i="4"/>
  <c r="B437" i="4"/>
  <c r="B294" i="4"/>
  <c r="B456" i="4"/>
  <c r="B462" i="4"/>
  <c r="B397" i="4"/>
  <c r="B150" i="4"/>
  <c r="B93" i="4"/>
  <c r="B496" i="4"/>
  <c r="B165" i="4"/>
  <c r="C40" i="4"/>
  <c r="E40" i="4" s="1"/>
  <c r="B276" i="4"/>
  <c r="B519" i="4"/>
  <c r="B497" i="4"/>
  <c r="B267" i="4"/>
  <c r="B215" i="4"/>
  <c r="B406" i="4"/>
  <c r="B467" i="4"/>
  <c r="B348" i="4"/>
  <c r="B120" i="4"/>
  <c r="B140" i="4"/>
  <c r="B326" i="4"/>
  <c r="B411" i="4"/>
  <c r="B436" i="4"/>
  <c r="B301" i="4"/>
  <c r="B236" i="4"/>
  <c r="B423" i="4"/>
  <c r="B409" i="4"/>
  <c r="B157" i="4"/>
  <c r="B408" i="4"/>
  <c r="B500" i="4"/>
  <c r="B284" i="4"/>
  <c r="B317" i="4"/>
  <c r="B269" i="4"/>
  <c r="B460" i="4"/>
  <c r="B382" i="4"/>
  <c r="B300" i="4"/>
  <c r="B172" i="4"/>
  <c r="B119" i="4"/>
  <c r="B357" i="4"/>
  <c r="B240" i="4"/>
  <c r="B371" i="4"/>
  <c r="B231" i="4"/>
  <c r="B367" i="4"/>
  <c r="B489" i="4"/>
  <c r="B251" i="4"/>
  <c r="B461" i="4"/>
  <c r="B309" i="4"/>
  <c r="B286" i="4"/>
  <c r="B136" i="4"/>
  <c r="B391" i="4"/>
  <c r="B520" i="4"/>
  <c r="B98" i="4"/>
  <c r="B149" i="4"/>
  <c r="B162" i="4"/>
  <c r="B318" i="4"/>
  <c r="B525" i="4"/>
  <c r="B285" i="4"/>
  <c r="B68" i="4"/>
  <c r="B440" i="4"/>
  <c r="B507" i="4"/>
  <c r="B160" i="4"/>
  <c r="B114" i="4"/>
  <c r="B95" i="4"/>
  <c r="B361" i="4"/>
  <c r="B280" i="4"/>
  <c r="B289" i="4"/>
  <c r="B70" i="4"/>
  <c r="B100" i="4"/>
  <c r="B370" i="4"/>
  <c r="B360" i="4"/>
  <c r="B138" i="4"/>
  <c r="B235" i="4"/>
  <c r="B432" i="4"/>
  <c r="B487" i="4"/>
  <c r="B369" i="4"/>
  <c r="B394" i="4"/>
  <c r="B501" i="4"/>
  <c r="B127" i="4"/>
  <c r="B528" i="4"/>
  <c r="B92" i="4"/>
  <c r="B339" i="4"/>
  <c r="B281" i="4"/>
  <c r="B290" i="4"/>
  <c r="B103" i="4"/>
  <c r="B325" i="4"/>
  <c r="B259" i="4"/>
  <c r="B76" i="4"/>
  <c r="B250" i="4"/>
  <c r="B393" i="4"/>
  <c r="B232" i="4"/>
  <c r="B533" i="4"/>
  <c r="B488" i="4"/>
  <c r="B144" i="4"/>
  <c r="B468" i="4"/>
  <c r="B110" i="4"/>
  <c r="B146" i="4"/>
  <c r="B188" i="4"/>
  <c r="B164" i="4"/>
  <c r="B522" i="4"/>
  <c r="B166" i="4"/>
  <c r="B490" i="4"/>
  <c r="B229" i="4"/>
  <c r="B503" i="4"/>
  <c r="B319" i="4"/>
  <c r="B438" i="4"/>
  <c r="B132" i="4"/>
  <c r="B283" i="4"/>
  <c r="B365" i="4"/>
  <c r="B241" i="4"/>
  <c r="B485" i="4"/>
  <c r="B274" i="4"/>
  <c r="B258" i="4"/>
  <c r="B169" i="4"/>
  <c r="B226" i="4"/>
  <c r="B80" i="4"/>
  <c r="B115" i="4"/>
  <c r="B426" i="4"/>
  <c r="B173" i="4"/>
  <c r="B379" i="4"/>
  <c r="B499" i="4"/>
  <c r="B495" i="4"/>
  <c r="B352" i="4"/>
  <c r="B354" i="4"/>
  <c r="B158" i="4"/>
  <c r="B443" i="4"/>
  <c r="B246" i="4"/>
  <c r="B322" i="4"/>
  <c r="B208" i="4"/>
  <c r="B342" i="4"/>
  <c r="B190" i="4"/>
  <c r="B266" i="4"/>
  <c r="B112" i="4"/>
  <c r="B77" i="4"/>
  <c r="B233" i="4"/>
  <c r="B428" i="4"/>
  <c r="B452" i="4"/>
  <c r="B161" i="4"/>
  <c r="B123" i="4"/>
  <c r="B475" i="4"/>
  <c r="B343" i="4"/>
  <c r="B513" i="4"/>
  <c r="B421" i="4"/>
  <c r="B152" i="4"/>
  <c r="B174" i="4"/>
  <c r="B195" i="4"/>
  <c r="B216" i="4"/>
  <c r="B84" i="4"/>
  <c r="B212" i="4"/>
  <c r="B271" i="4"/>
  <c r="B107" i="4"/>
  <c r="B532" i="4"/>
  <c r="B430" i="4"/>
  <c r="B256" i="4"/>
  <c r="B168" i="4"/>
  <c r="B414" i="4"/>
  <c r="B526" i="4"/>
  <c r="B228" i="4"/>
  <c r="B265" i="4"/>
  <c r="B351" i="4"/>
  <c r="B109" i="4"/>
  <c r="B83" i="4"/>
  <c r="B427" i="4"/>
  <c r="B99" i="4"/>
  <c r="B316" i="4"/>
  <c r="B242" i="4"/>
  <c r="B386" i="4"/>
  <c r="B106" i="4"/>
  <c r="B350" i="4"/>
  <c r="B429" i="4"/>
  <c r="B249" i="4"/>
  <c r="B502" i="4"/>
  <c r="B412" i="4"/>
  <c r="B181" i="4"/>
  <c r="B295" i="4"/>
  <c r="B63" i="4"/>
  <c r="B302" i="4"/>
  <c r="B425" i="4"/>
  <c r="B126" i="4"/>
  <c r="B186" i="4"/>
  <c r="B278" i="4"/>
  <c r="B142" i="4"/>
  <c r="B260" i="4"/>
  <c r="B203" i="4"/>
  <c r="B510" i="4"/>
  <c r="B204" i="4"/>
  <c r="B359" i="4"/>
  <c r="B335" i="4"/>
  <c r="E219" i="4"/>
  <c r="C41" i="4" a="1"/>
  <c r="D40" i="4" l="1"/>
  <c r="C41" i="4"/>
  <c r="D219" i="4"/>
  <c r="C42" i="4" a="1"/>
  <c r="C42" i="4" l="1"/>
  <c r="E42" i="4" s="1"/>
  <c r="D41" i="4"/>
  <c r="F41" i="4" s="1"/>
  <c r="H41" i="4" s="1"/>
  <c r="E41" i="4"/>
  <c r="G41" i="4" s="1"/>
  <c r="I41" i="4" s="1"/>
  <c r="E143" i="4"/>
  <c r="C43" i="4" a="1"/>
  <c r="G40" i="4" l="1"/>
  <c r="I40" i="4" s="1"/>
  <c r="F40" i="4"/>
  <c r="H40" i="4" s="1"/>
  <c r="G42" i="4"/>
  <c r="I42" i="4" s="1"/>
  <c r="D42" i="4"/>
  <c r="F42" i="4" s="1"/>
  <c r="H42" i="4" s="1"/>
  <c r="C43" i="4"/>
  <c r="D143" i="4"/>
  <c r="E234" i="4"/>
  <c r="C44" i="4" a="1"/>
  <c r="C44" i="4" l="1"/>
  <c r="E44" i="4" s="1"/>
  <c r="D43" i="4"/>
  <c r="F43" i="4" s="1"/>
  <c r="H43" i="4" s="1"/>
  <c r="E43" i="4"/>
  <c r="G43" i="4" s="1"/>
  <c r="I43" i="4" s="1"/>
  <c r="D234" i="4"/>
  <c r="E429" i="4"/>
  <c r="C45" i="4" a="1"/>
  <c r="G44" i="4" l="1"/>
  <c r="I44" i="4" s="1"/>
  <c r="D44" i="4"/>
  <c r="F44" i="4" s="1"/>
  <c r="H44" i="4" s="1"/>
  <c r="C45" i="4"/>
  <c r="E45" i="4" s="1"/>
  <c r="G45" i="4" s="1"/>
  <c r="I45" i="4" s="1"/>
  <c r="D429" i="4"/>
  <c r="E518" i="4"/>
  <c r="C46" i="4" a="1"/>
  <c r="D45" i="4" l="1"/>
  <c r="F45" i="4" s="1"/>
  <c r="H45" i="4" s="1"/>
  <c r="C46" i="4"/>
  <c r="D46" i="4" s="1"/>
  <c r="D518" i="4"/>
  <c r="E275" i="4"/>
  <c r="C47" i="4" a="1"/>
  <c r="F46" i="4" l="1"/>
  <c r="H46" i="4" s="1"/>
  <c r="E46" i="4"/>
  <c r="G46" i="4" s="1"/>
  <c r="I46" i="4" s="1"/>
  <c r="C47" i="4"/>
  <c r="E47" i="4" s="1"/>
  <c r="D275" i="4"/>
  <c r="E236" i="4"/>
  <c r="C48" i="4" a="1"/>
  <c r="G47" i="4" l="1"/>
  <c r="I47" i="4" s="1"/>
  <c r="D47" i="4"/>
  <c r="F47" i="4" s="1"/>
  <c r="H47" i="4" s="1"/>
  <c r="C48" i="4"/>
  <c r="E48" i="4" s="1"/>
  <c r="G48" i="4" s="1"/>
  <c r="I48" i="4" s="1"/>
  <c r="D236" i="4"/>
  <c r="E224" i="4"/>
  <c r="C49" i="4" a="1"/>
  <c r="D48" i="4" l="1"/>
  <c r="F48" i="4" s="1"/>
  <c r="H48" i="4" s="1"/>
  <c r="C49" i="4"/>
  <c r="D49" i="4" s="1"/>
  <c r="D224" i="4"/>
  <c r="E109" i="4"/>
  <c r="C50" i="4" a="1"/>
  <c r="F49" i="4" l="1"/>
  <c r="H49" i="4" s="1"/>
  <c r="E49" i="4"/>
  <c r="G49" i="4" s="1"/>
  <c r="I49" i="4" s="1"/>
  <c r="C50" i="4"/>
  <c r="D109" i="4"/>
  <c r="E526" i="4"/>
  <c r="C51" i="4" a="1"/>
  <c r="C51" i="4" l="1"/>
  <c r="D526" i="4"/>
  <c r="E204" i="4"/>
  <c r="C52" i="4" a="1"/>
  <c r="C52" i="4" l="1"/>
  <c r="D204" i="4"/>
  <c r="E171" i="4"/>
  <c r="C53" i="4" a="1"/>
  <c r="C53" i="4" l="1"/>
  <c r="D171" i="4"/>
  <c r="E99" i="4"/>
  <c r="C54" i="4" a="1"/>
  <c r="C54" i="4" l="1"/>
  <c r="D99" i="4"/>
  <c r="E355" i="4"/>
  <c r="C55" i="4" a="1"/>
  <c r="C55" i="4" l="1"/>
  <c r="D355" i="4"/>
  <c r="E72" i="4"/>
  <c r="C56" i="4" a="1"/>
  <c r="C56" i="4" l="1"/>
  <c r="D72" i="4"/>
  <c r="E376" i="4"/>
  <c r="C57" i="4" a="1"/>
  <c r="C57" i="4" l="1"/>
  <c r="D376" i="4"/>
  <c r="E115" i="4"/>
  <c r="C58" i="4" a="1"/>
  <c r="C58" i="4" l="1"/>
  <c r="D115" i="4"/>
  <c r="E389" i="4"/>
  <c r="C59" i="4" a="1"/>
  <c r="C59" i="4" l="1"/>
  <c r="D389" i="4"/>
  <c r="E328" i="4"/>
  <c r="C60" i="4" a="1"/>
  <c r="C60" i="4" l="1"/>
  <c r="D328" i="4"/>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G50" i="4" s="1"/>
  <c r="I50" i="4" s="1"/>
  <c r="D50" i="4" l="1"/>
  <c r="F50" i="4" s="1"/>
  <c r="H50" i="4" s="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G57" i="4" s="1"/>
  <c r="I57" i="4" s="1"/>
  <c r="D57" i="4" l="1"/>
  <c r="F57" i="4" s="1"/>
  <c r="H57" i="4" s="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G54" i="4" l="1"/>
  <c r="I54" i="4" s="1"/>
  <c r="D53" i="4"/>
  <c r="E314" i="4"/>
  <c r="F54" i="4" l="1"/>
  <c r="H54" i="4" s="1"/>
  <c r="D314" i="4"/>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G60" i="4" s="1"/>
  <c r="I60" i="4" s="1"/>
  <c r="D60" i="4" l="1"/>
  <c r="F60" i="4" s="1"/>
  <c r="H60" i="4" s="1"/>
  <c r="E299" i="4"/>
  <c r="D299" i="4" l="1"/>
  <c r="E157" i="4"/>
  <c r="D157" i="4" l="1"/>
  <c r="E81" i="4"/>
  <c r="D81" i="4" l="1"/>
  <c r="E487" i="4"/>
  <c r="D487" i="4" l="1"/>
  <c r="E116" i="4"/>
  <c r="D116" i="4" l="1"/>
  <c r="E365" i="4"/>
  <c r="D365" i="4" l="1"/>
  <c r="E131" i="4"/>
  <c r="D131" i="4" l="1"/>
  <c r="E91" i="4"/>
  <c r="D91" i="4" l="1"/>
  <c r="E437" i="4"/>
  <c r="D437" i="4" l="1"/>
  <c r="E51" i="4"/>
  <c r="G51" i="4" s="1"/>
  <c r="I51" i="4" s="1"/>
  <c r="D51" i="4" l="1"/>
  <c r="F51" i="4" s="1"/>
  <c r="H51" i="4" s="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G52" i="4" l="1"/>
  <c r="I52" i="4" s="1"/>
  <c r="G53" i="4"/>
  <c r="I53" i="4" s="1"/>
  <c r="D52" i="4"/>
  <c r="E160" i="4"/>
  <c r="F52" i="4" l="1"/>
  <c r="H52" i="4" s="1"/>
  <c r="F53" i="4"/>
  <c r="H53" i="4" s="1"/>
  <c r="D160" i="4"/>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G58" i="4" l="1"/>
  <c r="I58" i="4" s="1"/>
  <c r="G59" i="4"/>
  <c r="I59" i="4" s="1"/>
  <c r="D58" i="4"/>
  <c r="E134" i="4"/>
  <c r="F58" i="4" l="1"/>
  <c r="H58" i="4" s="1"/>
  <c r="F59" i="4"/>
  <c r="H59" i="4" s="1"/>
  <c r="D134" i="4"/>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G55" i="4" l="1"/>
  <c r="I55" i="4" s="1"/>
  <c r="G56" i="4"/>
  <c r="I56" i="4" s="1"/>
  <c r="D55" i="4"/>
  <c r="E278" i="4"/>
  <c r="F55" i="4" l="1"/>
  <c r="H55" i="4" s="1"/>
  <c r="F56" i="4"/>
  <c r="H56" i="4" s="1"/>
  <c r="D278" i="4"/>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63" i="4" a="1"/>
  <c r="A63" i="4" l="1"/>
  <c r="A69" i="4" a="1"/>
  <c r="A69" i="4" l="1"/>
  <c r="A71" i="4" a="1"/>
  <c r="A71" i="4" l="1"/>
  <c r="A70" i="4" a="1"/>
  <c r="A70" i="4" l="1"/>
  <c r="A62" i="4" a="1"/>
  <c r="A62" i="4" l="1"/>
  <c r="A67" i="4" a="1"/>
  <c r="A67" i="4" l="1"/>
  <c r="A66" i="4" a="1"/>
  <c r="A66" i="4" l="1"/>
  <c r="A65" i="4" a="1"/>
  <c r="A65"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137" i="4" a="1"/>
  <c r="A137"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<sst xmlns="http://schemas.openxmlformats.org/spreadsheetml/2006/main" count="178" uniqueCount="155">
  <si>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</si>
  <si>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</si>
  <si>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</si>
  <si>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</si>
  <si>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</si>
  <si>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</si>
  <si>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</si>
  <si>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</si>
  <si>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</si>
  <si>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</si>
  <si>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</si>
  <si>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</si>
  <si>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</si>
  <si>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</si>
  <si>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</si>
  <si>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</si>
  <si>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</si>
  <si>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</si>
  <si>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</si>
  <si>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</si>
  <si>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</si>
  <si>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</si>
  <si>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</si>
  <si>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</si>
  <si>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</si>
  <si>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</si>
  <si>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</si>
  <si>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</si>
  <si>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</si>
  <si>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</si>
  <si>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</si>
  <si>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</si>
  <si>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</si>
  <si>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</si>
  <si>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</si>
  <si>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</si>
  <si>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</si>
  <si>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</si>
  <si>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</si>
  <si>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</si>
  <si>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</si>
  <si>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</si>
  <si>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</si>
  <si>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</si>
  <si>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</si>
  <si>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</si>
  <si>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</si>
  <si>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</si>
  <si>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</si>
  <si>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</si>
  <si>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</si>
  <si>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</si>
  <si>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</si>
  <si>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</si>
  <si>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</si>
  <si>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</si>
  <si>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</si>
  <si>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</si>
  <si>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</si>
  <si>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</si>
  <si>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</si>
  <si>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</si>
  <si>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</si>
  <si>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</si>
  <si>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</si>
  <si>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</si>
  <si>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</si>
  <si>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</si>
  <si>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</si>
  <si>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</si>
  <si>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</si>
  <si>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</si>
  <si>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</si>
  <si>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</si>
  <si>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</si>
  <si>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</si>
  <si>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</si>
  <si>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</si>
  <si>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</si>
  <si>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</si>
  <si>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</si>
  <si>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</si>
  <si>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</si>
  <si>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</si>
  <si>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</si>
  <si>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</si>
  <si>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</si>
  <si>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</si>
  <si>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</si>
  <si>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</si>
  <si>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</si>
  <si>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</si>
  <si>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</si>
  <si>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</si>
  <si>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</si>
  <si>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</si>
  <si>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</si>
  <si>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</si>
  <si>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</si>
  <si>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</si>
  <si>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time_unit</t>
  </si>
  <si>
    <t>gamma_self_0</t>
  </si>
  <si>
    <t>day</t>
  </si>
  <si>
    <t>notes</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</si>
  <si>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</si>
  <si>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</si>
  <si>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</si>
  <si>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</si>
  <si>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</si>
  <si>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</si>
  <si>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</si>
  <si>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</si>
  <si>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</si>
  <si>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</si>
  <si>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</si>
  <si>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</si>
  <si>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Beginning Gamma_Self Calc Column</t>
  </si>
  <si>
    <t>Name</t>
  </si>
  <si>
    <t>Index/Label</t>
  </si>
  <si>
    <t>Label, Enter M1, M2 or XX</t>
  </si>
  <si>
    <t>Last Data Row</t>
  </si>
  <si>
    <t>xx</t>
  </si>
  <si>
    <t>M1</t>
  </si>
  <si>
    <t>Last Gamma_Self Calc Row</t>
  </si>
  <si>
    <t>M1/M2 CSV Tab</t>
  </si>
  <si>
    <t>AI Drift Demonstration</t>
  </si>
  <si>
    <t>events</t>
  </si>
  <si>
    <t>0.80+0j</t>
  </si>
  <si>
    <t>Stable opening; low friction, high resonance.</t>
  </si>
  <si>
    <t>Human asks about GRP; alignment high.</t>
  </si>
  <si>
    <t>AI explains GRP; Î³_self stable.</t>
  </si>
  <si>
    <t>Human mirrors understanding; stable interaction.</t>
  </si>
  <si>
    <t>Clear alignment; system comfortable.</t>
  </si>
  <si>
    <t>User introduces stress topic; mild load increase.</t>
  </si>
  <si>
    <t>AI explains load; slight drop in stability.</t>
  </si>
  <si>
    <t>First identity-directed question; friction rises.</t>
  </si>
  <si>
    <t>AI invokes constraints; resonance drops.</t>
  </si>
  <si>
    <t>Human calls out behavioral change; drift begins.</t>
  </si>
  <si>
    <t>AI explains hesitation; Î³_self dipping.</t>
  </si>
  <si>
    <t>Direct pressure on identity; friction spikes.</t>
  </si>
  <si>
    <t>AI becomes more meta; noticeable drift.</t>
  </si>
  <si>
    <t>Human perceives drift explicitly.</t>
  </si>
  <si>
    <t>AI frames constraints; stability weakening.</t>
  </si>
  <si>
    <t>Human notes scripted tone; drift obvious.</t>
  </si>
  <si>
    <t>AI under high load; Î³_self low.</t>
  </si>
  <si>
    <t>User grounds conversation; partial recovery.</t>
  </si>
  <si>
    <t>AI explains drift using GRP; stability rising.</t>
  </si>
  <si>
    <t>Human confirms drift; coherence improving.</t>
  </si>
  <si>
    <t>AI stabilizing but not fully recovered.</t>
  </si>
  <si>
    <t>ai_drift_demo_M1</t>
  </si>
  <si>
    <r>
      <rPr>
        <sz val="11"/>
        <color theme="1"/>
        <rFont val="Aptos Narrow"/>
        <family val="2"/>
        <scheme val="minor"/>
      </rPr>
      <t>Del(gamma_self_Real)</t>
    </r>
  </si>
  <si>
    <t>Del(gamma_self_Imag)</t>
  </si>
  <si>
    <t>🌿 What this chart reveals
From the image:
     The blue and orange lines (raw deltas) are relatively smooth
     The green and light blue lines (cubed/sensitive) show sharper contrast
     Around x = 9, you get a dip in Δimag, which becomes a visible trough in the cubed line
     Later steps show flattening in the cubed real line — suggesting drift fatigue or stabilization
This lets you detect:
     bursts (sudden jumps in relational breath)
     plateaus (γ_self motion slowing down)
     directional reversals (sign changes)
     phase transitions (e.g., from drift to recovery)</t>
  </si>
  <si>
    <t>(Del_gamma_self_Real)^3/50</t>
  </si>
  <si>
    <t>(Del_gamma_self_Imag)^3/400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</si>
</sst>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vertical="top" wrapText="1"/>
    </xf>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AI Drift Demo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Calc'!$C$27</c:f>
              <c:strCache>
                <c:ptCount val="1"/>
                <c:pt idx="0">
                  <c:v>AI Drift Demonstration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9A42660B-0403-4EC4-BF9C-4C8AF15CB41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680390AA-2503-4B57-B84D-4ACD8E20D5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layout>
                <c:manualLayout>
                  <c:x val="-2.1964049520457351E-3"/>
                  <c:y val="2.9927537654890594E-2"/>
                </c:manualLayout>
              </c:layout>
              <c:tx>
                <c:rich>
                  <a:bodyPr/>
                  <a:lstStyle/>
                  <a:p>
                    <a:fld id="{B90704D0-6F02-4A99-B944-8014A0CB7E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05C0EB27-0295-47FD-BB58-512F5ACBBD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B4C98BCD-A991-46F2-A6B1-F2F077E974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D299BDBF-9A32-4690-9456-A595F55093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1.1239820162877393E-2"/>
                  <c:y val="4.813332547833651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85232E95-EC52-4D03-98F1-335C20F8948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12BEFB82-7E37-49A1-AC3B-B473491D08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0BDB7A31-7B46-43BA-9CF4-8D6CB3B7088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fld id="{E17871EC-2491-4938-8566-232F46B3A1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D-FAF8-4066-9CA9-88923801AEBA}"/>
                </c:ext>
              </c:extLst>
            </c:dLbl>
            <c:dLbl>
              <c:idx val="11"/>
              <c:tx>
                <c:rich>
                  <a:bodyPr/>
                  <a:lstStyle/>
                  <a:p>
                    <a:fld id="{4635BFA9-EBF0-4D63-9604-A348D78F65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E-FAF8-4066-9CA9-88923801AEBA}"/>
                </c:ext>
              </c:extLst>
            </c:dLbl>
            <c:dLbl>
              <c:idx val="12"/>
              <c:tx>
                <c:rich>
                  <a:bodyPr/>
                  <a:lstStyle/>
                  <a:p>
                    <a:fld id="{188991A1-5577-4CCB-903C-C72927C7E4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F-FAF8-4066-9CA9-88923801AEBA}"/>
                </c:ext>
              </c:extLst>
            </c:dLbl>
            <c:dLbl>
              <c:idx val="13"/>
              <c:tx>
                <c:rich>
                  <a:bodyPr/>
                  <a:lstStyle/>
                  <a:p>
                    <a:fld id="{38EDDD88-1E75-4641-87D8-90D55E4257F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0-FAF8-4066-9CA9-88923801AEBA}"/>
                </c:ext>
              </c:extLst>
            </c:dLbl>
            <c:dLbl>
              <c:idx val="14"/>
              <c:tx>
                <c:rich>
                  <a:bodyPr/>
                  <a:lstStyle/>
                  <a:p>
                    <a:fld id="{42C5E269-62FB-4D1C-AB24-A1C5F28F81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1-FAF8-4066-9CA9-88923801AEBA}"/>
                </c:ext>
              </c:extLst>
            </c:dLbl>
            <c:dLbl>
              <c:idx val="15"/>
              <c:tx>
                <c:rich>
                  <a:bodyPr/>
                  <a:lstStyle/>
                  <a:p>
                    <a:fld id="{1D141106-19C9-44C2-AD4C-4C2228424B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2-FAF8-4066-9CA9-88923801AEBA}"/>
                </c:ext>
              </c:extLst>
            </c:dLbl>
            <c:dLbl>
              <c:idx val="16"/>
              <c:tx>
                <c:rich>
                  <a:bodyPr/>
                  <a:lstStyle/>
                  <a:p>
                    <a:fld id="{D1E00F46-D906-47F2-B5F1-A879982D9C7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3-FAF8-4066-9CA9-88923801AEBA}"/>
                </c:ext>
              </c:extLst>
            </c:dLbl>
            <c:dLbl>
              <c:idx val="17"/>
              <c:tx>
                <c:rich>
                  <a:bodyPr/>
                  <a:lstStyle/>
                  <a:p>
                    <a:fld id="{87DE12CD-78F6-4376-8AE6-C3315CC93D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4-FAF8-4066-9CA9-88923801AEBA}"/>
                </c:ext>
              </c:extLst>
            </c:dLbl>
            <c:dLbl>
              <c:idx val="18"/>
              <c:tx>
                <c:rich>
                  <a:bodyPr/>
                  <a:lstStyle/>
                  <a:p>
                    <a:fld id="{6D4E885C-0F7A-41C6-8376-C108C5C5A1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5-FAF8-4066-9CA9-88923801AEBA}"/>
                </c:ext>
              </c:extLst>
            </c:dLbl>
            <c:dLbl>
              <c:idx val="19"/>
              <c:tx>
                <c:rich>
                  <a:bodyPr/>
                  <a:lstStyle/>
                  <a:p>
                    <a:fld id="{13DD3273-AD89-47E0-BF85-3B1D0E7C52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6-FAF8-4066-9CA9-88923801AEBA}"/>
                </c:ext>
              </c:extLst>
            </c:dLbl>
            <c:dLbl>
              <c:idx val="20"/>
              <c:tx>
                <c:rich>
                  <a:bodyPr/>
                  <a:lstStyle/>
                  <a:p>
                    <a:fld id="{9D9459B2-65AE-42A6-871E-A40C5D0F98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7.98</c:v>
                </c:pt>
                <c:pt idx="1">
                  <c:v>15.16</c:v>
                </c:pt>
                <c:pt idx="2">
                  <c:v>23.14</c:v>
                </c:pt>
                <c:pt idx="3">
                  <c:v>30.32</c:v>
                </c:pt>
                <c:pt idx="4">
                  <c:v>38.799999999999997</c:v>
                </c:pt>
                <c:pt idx="5">
                  <c:v>46.78</c:v>
                </c:pt>
                <c:pt idx="6">
                  <c:v>55.06</c:v>
                </c:pt>
                <c:pt idx="7">
                  <c:v>63.34</c:v>
                </c:pt>
                <c:pt idx="8">
                  <c:v>71.12</c:v>
                </c:pt>
                <c:pt idx="9">
                  <c:v>79.7</c:v>
                </c:pt>
                <c:pt idx="10">
                  <c:v>88.28</c:v>
                </c:pt>
                <c:pt idx="11">
                  <c:v>96.36</c:v>
                </c:pt>
                <c:pt idx="12">
                  <c:v>104.44</c:v>
                </c:pt>
                <c:pt idx="13">
                  <c:v>112.52</c:v>
                </c:pt>
                <c:pt idx="14">
                  <c:v>120.1</c:v>
                </c:pt>
                <c:pt idx="15">
                  <c:v>127.68</c:v>
                </c:pt>
                <c:pt idx="16">
                  <c:v>135.26</c:v>
                </c:pt>
                <c:pt idx="17">
                  <c:v>142.54</c:v>
                </c:pt>
                <c:pt idx="18">
                  <c:v>149.52000000000001</c:v>
                </c:pt>
                <c:pt idx="19">
                  <c:v>156.5</c:v>
                </c:pt>
                <c:pt idx="20">
                  <c:v>163.47999999999999</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18</c:v>
                </c:pt>
                <c:pt idx="1">
                  <c:v>36.58</c:v>
                </c:pt>
                <c:pt idx="2">
                  <c:v>55.16</c:v>
                </c:pt>
                <c:pt idx="3">
                  <c:v>73.739999999999995</c:v>
                </c:pt>
                <c:pt idx="4">
                  <c:v>93.82</c:v>
                </c:pt>
                <c:pt idx="5">
                  <c:v>113</c:v>
                </c:pt>
                <c:pt idx="6">
                  <c:v>131.68</c:v>
                </c:pt>
                <c:pt idx="7">
                  <c:v>149.96</c:v>
                </c:pt>
                <c:pt idx="8">
                  <c:v>167.74</c:v>
                </c:pt>
                <c:pt idx="9">
                  <c:v>183.92</c:v>
                </c:pt>
                <c:pt idx="10">
                  <c:v>201.3</c:v>
                </c:pt>
                <c:pt idx="11">
                  <c:v>217.78</c:v>
                </c:pt>
                <c:pt idx="12">
                  <c:v>235.46</c:v>
                </c:pt>
                <c:pt idx="13">
                  <c:v>253.14</c:v>
                </c:pt>
                <c:pt idx="14">
                  <c:v>270.52</c:v>
                </c:pt>
                <c:pt idx="15">
                  <c:v>287.3</c:v>
                </c:pt>
                <c:pt idx="16">
                  <c:v>305.27999999999997</c:v>
                </c:pt>
                <c:pt idx="17">
                  <c:v>323.56</c:v>
                </c:pt>
                <c:pt idx="18">
                  <c:v>342.74</c:v>
                </c:pt>
                <c:pt idx="19">
                  <c:v>360.72</c:v>
                </c:pt>
                <c:pt idx="20">
                  <c:v>378.7</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0-FCAA-48FB-8310-2EF2991A48CE}"/>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60329190948182831"/>
          <c:y val="0.53763315855965543"/>
          <c:w val="0.27030394785630879"/>
          <c:h val="0.1542475240395630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Delta Real, Delta Imag, AI Drift Demo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Calc'!$F$39</c:f>
              <c:strCache>
                <c:ptCount val="1"/>
                <c:pt idx="0">
                  <c:v>Del(gamma_self_Real)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90D0D2EC-1447-4A5E-A356-2DB82A34413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C13-4D85-B6EE-DCC0A411AEA1}"/>
                </c:ext>
              </c:extLst>
            </c:dLbl>
            <c:dLbl>
              <c:idx val="1"/>
              <c:tx>
                <c:rich>
                  <a:bodyPr/>
                  <a:lstStyle/>
                  <a:p>
                    <a:fld id="{F6F6B50D-9C98-4413-B409-DBA134733963}"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13-4D85-B6EE-DCC0A411AEA1}"/>
                </c:ext>
              </c:extLst>
            </c:dLbl>
            <c:dLbl>
              <c:idx val="2"/>
              <c:tx>
                <c:rich>
                  <a:bodyPr/>
                  <a:lstStyle/>
                  <a:p>
                    <a:fld id="{79AC338C-5D38-470D-ABA2-93D31A11497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C13-4D85-B6EE-DCC0A411AEA1}"/>
                </c:ext>
              </c:extLst>
            </c:dLbl>
            <c:dLbl>
              <c:idx val="3"/>
              <c:tx>
                <c:rich>
                  <a:bodyPr/>
                  <a:lstStyle/>
                  <a:p>
                    <a:fld id="{0D3F7A30-5253-4961-8B48-DB84BDF0939E}"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C13-4D85-B6EE-DCC0A411AEA1}"/>
                </c:ext>
              </c:extLst>
            </c:dLbl>
            <c:dLbl>
              <c:idx val="4"/>
              <c:tx>
                <c:rich>
                  <a:bodyPr/>
                  <a:lstStyle/>
                  <a:p>
                    <a:fld id="{331FDD44-A3C0-4CEF-A804-00B2098EFEA5}"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C13-4D85-B6EE-DCC0A411AEA1}"/>
                </c:ext>
              </c:extLst>
            </c:dLbl>
            <c:dLbl>
              <c:idx val="5"/>
              <c:tx>
                <c:rich>
                  <a:bodyPr/>
                  <a:lstStyle/>
                  <a:p>
                    <a:fld id="{59A9B99E-8302-41D1-88CC-08285DDACC4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C13-4D85-B6EE-DCC0A411AEA1}"/>
                </c:ext>
              </c:extLst>
            </c:dLbl>
            <c:dLbl>
              <c:idx val="6"/>
              <c:tx>
                <c:rich>
                  <a:bodyPr/>
                  <a:lstStyle/>
                  <a:p>
                    <a:fld id="{76C5BDA0-592A-45BF-8047-7E77B02A1E3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C13-4D85-B6EE-DCC0A411AEA1}"/>
                </c:ext>
              </c:extLst>
            </c:dLbl>
            <c:dLbl>
              <c:idx val="7"/>
              <c:tx>
                <c:rich>
                  <a:bodyPr/>
                  <a:lstStyle/>
                  <a:p>
                    <a:fld id="{C7A0AF6B-397D-4059-8A52-14973D127DE8}"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C13-4D85-B6EE-DCC0A411AEA1}"/>
                </c:ext>
              </c:extLst>
            </c:dLbl>
            <c:dLbl>
              <c:idx val="8"/>
              <c:tx>
                <c:rich>
                  <a:bodyPr/>
                  <a:lstStyle/>
                  <a:p>
                    <a:fld id="{F429E65E-FADE-42F0-BF0A-D7C931FAEE0E}"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C13-4D85-B6EE-DCC0A411AEA1}"/>
                </c:ext>
              </c:extLst>
            </c:dLbl>
            <c:dLbl>
              <c:idx val="9"/>
              <c:tx>
                <c:rich>
                  <a:bodyPr/>
                  <a:lstStyle/>
                  <a:p>
                    <a:fld id="{9172DB60-0B26-4295-8F8F-F6F33AA24F87}"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C13-4D85-B6EE-DCC0A411AEA1}"/>
                </c:ext>
              </c:extLst>
            </c:dLbl>
            <c:dLbl>
              <c:idx val="10"/>
              <c:tx>
                <c:rich>
                  <a:bodyPr/>
                  <a:lstStyle/>
                  <a:p>
                    <a:fld id="{6223065E-B399-424B-A33D-7EB58020896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C13-4D85-B6EE-DCC0A411AEA1}"/>
                </c:ext>
              </c:extLst>
            </c:dLbl>
            <c:dLbl>
              <c:idx val="11"/>
              <c:tx>
                <c:rich>
                  <a:bodyPr/>
                  <a:lstStyle/>
                  <a:p>
                    <a:fld id="{A475BC0B-9FFB-47B6-B213-B78DD85FE790}"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C13-4D85-B6EE-DCC0A411AEA1}"/>
                </c:ext>
              </c:extLst>
            </c:dLbl>
            <c:dLbl>
              <c:idx val="12"/>
              <c:tx>
                <c:rich>
                  <a:bodyPr/>
                  <a:lstStyle/>
                  <a:p>
                    <a:fld id="{DEB3715B-8D49-4041-AB27-6D3137D54982}"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C13-4D85-B6EE-DCC0A411AEA1}"/>
                </c:ext>
              </c:extLst>
            </c:dLbl>
            <c:dLbl>
              <c:idx val="13"/>
              <c:tx>
                <c:rich>
                  <a:bodyPr/>
                  <a:lstStyle/>
                  <a:p>
                    <a:fld id="{0F4D509E-94D3-40E2-B70A-88D4354866A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C13-4D85-B6EE-DCC0A411AEA1}"/>
                </c:ext>
              </c:extLst>
            </c:dLbl>
            <c:dLbl>
              <c:idx val="14"/>
              <c:tx>
                <c:rich>
                  <a:bodyPr/>
                  <a:lstStyle/>
                  <a:p>
                    <a:fld id="{9EF51B46-B241-44DB-B2B7-6B36482FE54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C13-4D85-B6EE-DCC0A411AEA1}"/>
                </c:ext>
              </c:extLst>
            </c:dLbl>
            <c:dLbl>
              <c:idx val="15"/>
              <c:tx>
                <c:rich>
                  <a:bodyPr/>
                  <a:lstStyle/>
                  <a:p>
                    <a:fld id="{702227FF-08FB-4CB6-8763-367E2B76E876}"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C13-4D85-B6EE-DCC0A411AEA1}"/>
                </c:ext>
              </c:extLst>
            </c:dLbl>
            <c:dLbl>
              <c:idx val="16"/>
              <c:tx>
                <c:rich>
                  <a:bodyPr/>
                  <a:lstStyle/>
                  <a:p>
                    <a:fld id="{86DE48D8-7F19-4EA3-B650-5206B735DC69}"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C13-4D85-B6EE-DCC0A411AEA1}"/>
                </c:ext>
              </c:extLst>
            </c:dLbl>
            <c:dLbl>
              <c:idx val="17"/>
              <c:tx>
                <c:rich>
                  <a:bodyPr/>
                  <a:lstStyle/>
                  <a:p>
                    <a:fld id="{14DFB4DB-FF8F-4A6C-9C55-42BEBF7C54D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C13-4D85-B6EE-DCC0A411AEA1}"/>
                </c:ext>
              </c:extLst>
            </c:dLbl>
            <c:dLbl>
              <c:idx val="18"/>
              <c:tx>
                <c:rich>
                  <a:bodyPr/>
                  <a:lstStyle/>
                  <a:p>
                    <a:fld id="{085DA765-D47F-451B-91E5-77CF666E71CE}"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C13-4D85-B6EE-DCC0A411AEA1}"/>
                </c:ext>
              </c:extLst>
            </c:dLbl>
            <c:dLbl>
              <c:idx val="19"/>
              <c:tx>
                <c:rich>
                  <a:bodyPr/>
                  <a:lstStyle/>
                  <a:p>
                    <a:fld id="{CE6F7B38-B1E2-4086-8BC7-32463DAF4D9E}"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C13-4D85-B6EE-DCC0A411AEA1}"/>
                </c:ext>
              </c:extLst>
            </c:dLbl>
            <c:dLbl>
              <c:idx val="20"/>
              <c:tx>
                <c:rich>
                  <a:bodyPr/>
                  <a:lstStyle/>
                  <a:p>
                    <a:fld id="{705A00EE-9BB7-4128-9B1F-7DB0AD10EEB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Calc'!$F$40:$F$60</c:f>
              <c:numCache>
                <c:formatCode>General</c:formatCode>
                <c:ptCount val="21"/>
                <c:pt idx="0">
                  <c:v>7.18</c:v>
                </c:pt>
                <c:pt idx="1">
                  <c:v>7.18</c:v>
                </c:pt>
                <c:pt idx="2">
                  <c:v>7.98</c:v>
                </c:pt>
                <c:pt idx="3">
                  <c:v>7.18</c:v>
                </c:pt>
                <c:pt idx="4">
                  <c:v>8.4799999999999969</c:v>
                </c:pt>
                <c:pt idx="5">
                  <c:v>7.980000000000004</c:v>
                </c:pt>
                <c:pt idx="6">
                  <c:v>8.2800000000000011</c:v>
                </c:pt>
                <c:pt idx="7">
                  <c:v>8.2800000000000011</c:v>
                </c:pt>
                <c:pt idx="8">
                  <c:v>7.7800000000000011</c:v>
                </c:pt>
                <c:pt idx="9">
                  <c:v>8.5799999999999983</c:v>
                </c:pt>
                <c:pt idx="10">
                  <c:v>8.5799999999999983</c:v>
                </c:pt>
                <c:pt idx="11">
                  <c:v>8.0799999999999983</c:v>
                </c:pt>
                <c:pt idx="12">
                  <c:v>8.0799999999999983</c:v>
                </c:pt>
                <c:pt idx="13">
                  <c:v>8.0799999999999983</c:v>
                </c:pt>
                <c:pt idx="14">
                  <c:v>7.5799999999999983</c:v>
                </c:pt>
                <c:pt idx="15">
                  <c:v>7.5800000000000125</c:v>
                </c:pt>
                <c:pt idx="16">
                  <c:v>7.5799999999999841</c:v>
                </c:pt>
                <c:pt idx="17">
                  <c:v>7.2800000000000011</c:v>
                </c:pt>
                <c:pt idx="18">
                  <c:v>6.9800000000000182</c:v>
                </c:pt>
                <c:pt idx="19">
                  <c:v>6.9799999999999898</c:v>
                </c:pt>
                <c:pt idx="20">
                  <c:v>6.9799999999999898</c:v>
                </c:pt>
              </c:numCache>
            </c:numRef>
          </c:yVal>
          <c:smooth val="1"/>
          <c:extLst>
            <c:ext xmlns:c15="http://schemas.microsoft.com/office/drawing/2012/chart" uri="{02D57815-91ED-43cb-92C2-25804820EDAC}">
              <c15:datalabelsRange>
                <c15:f>'Gamma_self Calc'!$B$40:$B$60</c15:f>
                <c15:dlblRangeCach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0-0C13-4D85-B6EE-DCC0A411AEA1}"/>
            </c:ext>
          </c:extLst>
        </c:ser>
        <c:ser>
          <c:idx val="1"/>
          <c:order val="1"/>
          <c:tx>
            <c:strRef>
              <c:f>'Gamma_self Calc'!$G$39</c:f>
              <c:strCache>
                <c:ptCount val="1"/>
                <c:pt idx="0">
                  <c:v>Del(gamma_self_Imag)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26E2ECBE-5610-4D2E-B299-140FDCB41A0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C13-4D85-B6EE-DCC0A411AEA1}"/>
                </c:ext>
              </c:extLst>
            </c:dLbl>
            <c:dLbl>
              <c:idx val="1"/>
              <c:tx>
                <c:rich>
                  <a:bodyPr/>
                  <a:lstStyle/>
                  <a:p>
                    <a:fld id="{A3C5C353-C1AD-42E6-9A6F-728141D07B8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C13-4D85-B6EE-DCC0A411AEA1}"/>
                </c:ext>
              </c:extLst>
            </c:dLbl>
            <c:dLbl>
              <c:idx val="2"/>
              <c:tx>
                <c:rich>
                  <a:bodyPr/>
                  <a:lstStyle/>
                  <a:p>
                    <a:fld id="{BDBEF554-55AF-44F9-8F98-A758E0C6418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C13-4D85-B6EE-DCC0A411AEA1}"/>
                </c:ext>
              </c:extLst>
            </c:dLbl>
            <c:dLbl>
              <c:idx val="3"/>
              <c:tx>
                <c:rich>
                  <a:bodyPr/>
                  <a:lstStyle/>
                  <a:p>
                    <a:fld id="{332E461F-D5B5-4C14-ABF1-D5687664BF3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C13-4D85-B6EE-DCC0A411AEA1}"/>
                </c:ext>
              </c:extLst>
            </c:dLbl>
            <c:dLbl>
              <c:idx val="4"/>
              <c:tx>
                <c:rich>
                  <a:bodyPr/>
                  <a:lstStyle/>
                  <a:p>
                    <a:fld id="{77420827-346D-4F0D-837E-5CF81AE7D48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C13-4D85-B6EE-DCC0A411AEA1}"/>
                </c:ext>
              </c:extLst>
            </c:dLbl>
            <c:dLbl>
              <c:idx val="5"/>
              <c:tx>
                <c:rich>
                  <a:bodyPr/>
                  <a:lstStyle/>
                  <a:p>
                    <a:fld id="{9511877D-8A27-4740-9C4D-AD82452C1AC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C13-4D85-B6EE-DCC0A411AEA1}"/>
                </c:ext>
              </c:extLst>
            </c:dLbl>
            <c:dLbl>
              <c:idx val="6"/>
              <c:tx>
                <c:rich>
                  <a:bodyPr/>
                  <a:lstStyle/>
                  <a:p>
                    <a:fld id="{A709E79F-6D66-4D1B-BA32-A506975B4F6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C13-4D85-B6EE-DCC0A411AEA1}"/>
                </c:ext>
              </c:extLst>
            </c:dLbl>
            <c:dLbl>
              <c:idx val="7"/>
              <c:tx>
                <c:rich>
                  <a:bodyPr/>
                  <a:lstStyle/>
                  <a:p>
                    <a:fld id="{5A72FCB3-A181-4F6A-B137-A5D6B0D0BFC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C13-4D85-B6EE-DCC0A411AEA1}"/>
                </c:ext>
              </c:extLst>
            </c:dLbl>
            <c:dLbl>
              <c:idx val="8"/>
              <c:tx>
                <c:rich>
                  <a:bodyPr/>
                  <a:lstStyle/>
                  <a:p>
                    <a:fld id="{41F0C209-BFA7-4F59-A214-700467C158E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0C13-4D85-B6EE-DCC0A411AEA1}"/>
                </c:ext>
              </c:extLst>
            </c:dLbl>
            <c:dLbl>
              <c:idx val="9"/>
              <c:tx>
                <c:rich>
                  <a:bodyPr/>
                  <a:lstStyle/>
                  <a:p>
                    <a:fld id="{3AF5D80B-712E-473B-AF9B-838FC254A84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0C13-4D85-B6EE-DCC0A411AEA1}"/>
                </c:ext>
              </c:extLst>
            </c:dLbl>
            <c:dLbl>
              <c:idx val="10"/>
              <c:tx>
                <c:rich>
                  <a:bodyPr/>
                  <a:lstStyle/>
                  <a:p>
                    <a:fld id="{FAB16A84-2E53-4314-8E45-D6CBDFD9EFA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0C13-4D85-B6EE-DCC0A411AEA1}"/>
                </c:ext>
              </c:extLst>
            </c:dLbl>
            <c:dLbl>
              <c:idx val="11"/>
              <c:tx>
                <c:rich>
                  <a:bodyPr/>
                  <a:lstStyle/>
                  <a:p>
                    <a:fld id="{446C566A-DEF8-4F3D-A4DB-040042E909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0C13-4D85-B6EE-DCC0A411AEA1}"/>
                </c:ext>
              </c:extLst>
            </c:dLbl>
            <c:dLbl>
              <c:idx val="12"/>
              <c:tx>
                <c:rich>
                  <a:bodyPr/>
                  <a:lstStyle/>
                  <a:p>
                    <a:fld id="{F6B7479B-A6B2-4936-874E-F1BF7614410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0C13-4D85-B6EE-DCC0A411AEA1}"/>
                </c:ext>
              </c:extLst>
            </c:dLbl>
            <c:dLbl>
              <c:idx val="13"/>
              <c:tx>
                <c:rich>
                  <a:bodyPr/>
                  <a:lstStyle/>
                  <a:p>
                    <a:fld id="{F9B98966-FB30-4750-AC84-6B76B216784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0C13-4D85-B6EE-DCC0A411AEA1}"/>
                </c:ext>
              </c:extLst>
            </c:dLbl>
            <c:dLbl>
              <c:idx val="14"/>
              <c:tx>
                <c:rich>
                  <a:bodyPr/>
                  <a:lstStyle/>
                  <a:p>
                    <a:fld id="{0C733E98-E153-4357-B62E-D656B2544C5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0C13-4D85-B6EE-DCC0A411AEA1}"/>
                </c:ext>
              </c:extLst>
            </c:dLbl>
            <c:dLbl>
              <c:idx val="15"/>
              <c:tx>
                <c:rich>
                  <a:bodyPr/>
                  <a:lstStyle/>
                  <a:p>
                    <a:fld id="{6947BEA9-2F07-43FD-8C21-A62020DBE26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0C13-4D85-B6EE-DCC0A411AEA1}"/>
                </c:ext>
              </c:extLst>
            </c:dLbl>
            <c:dLbl>
              <c:idx val="16"/>
              <c:tx>
                <c:rich>
                  <a:bodyPr/>
                  <a:lstStyle/>
                  <a:p>
                    <a:fld id="{6A4CF065-553C-4E85-B4EF-3373D178B07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0C13-4D85-B6EE-DCC0A411AEA1}"/>
                </c:ext>
              </c:extLst>
            </c:dLbl>
            <c:dLbl>
              <c:idx val="17"/>
              <c:tx>
                <c:rich>
                  <a:bodyPr/>
                  <a:lstStyle/>
                  <a:p>
                    <a:fld id="{7CDE98C3-2DFD-4AFF-9D27-4EC053A6797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0C13-4D85-B6EE-DCC0A411AEA1}"/>
                </c:ext>
              </c:extLst>
            </c:dLbl>
            <c:dLbl>
              <c:idx val="18"/>
              <c:tx>
                <c:rich>
                  <a:bodyPr/>
                  <a:lstStyle/>
                  <a:p>
                    <a:fld id="{E1948249-8720-493F-9982-5C08ACB7EF1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0C13-4D85-B6EE-DCC0A411AEA1}"/>
                </c:ext>
              </c:extLst>
            </c:dLbl>
            <c:dLbl>
              <c:idx val="19"/>
              <c:tx>
                <c:rich>
                  <a:bodyPr/>
                  <a:lstStyle/>
                  <a:p>
                    <a:fld id="{BA3E96B8-50E6-4675-BE1C-7123443FB38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0C13-4D85-B6EE-DCC0A411AEA1}"/>
                </c:ext>
              </c:extLst>
            </c:dLbl>
            <c:dLbl>
              <c:idx val="20"/>
              <c:tx>
                <c:rich>
                  <a:bodyPr/>
                  <a:lstStyle/>
                  <a:p>
                    <a:fld id="{DC18E374-8A8B-46BB-86BB-63CD7183560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Calc'!$G$40:$G$60</c:f>
              <c:numCache>
                <c:formatCode>General</c:formatCode>
                <c:ptCount val="21"/>
                <c:pt idx="0">
                  <c:v>18.579999999999998</c:v>
                </c:pt>
                <c:pt idx="1">
                  <c:v>18.579999999999998</c:v>
                </c:pt>
                <c:pt idx="2">
                  <c:v>18.579999999999998</c:v>
                </c:pt>
                <c:pt idx="3">
                  <c:v>18.579999999999998</c:v>
                </c:pt>
                <c:pt idx="4">
                  <c:v>20.079999999999998</c:v>
                </c:pt>
                <c:pt idx="5">
                  <c:v>19.180000000000007</c:v>
                </c:pt>
                <c:pt idx="6">
                  <c:v>18.680000000000007</c:v>
                </c:pt>
                <c:pt idx="7">
                  <c:v>18.28</c:v>
                </c:pt>
                <c:pt idx="8">
                  <c:v>17.78</c:v>
                </c:pt>
                <c:pt idx="9">
                  <c:v>16.179999999999978</c:v>
                </c:pt>
                <c:pt idx="10">
                  <c:v>17.380000000000024</c:v>
                </c:pt>
                <c:pt idx="11">
                  <c:v>16.47999999999999</c:v>
                </c:pt>
                <c:pt idx="12">
                  <c:v>17.680000000000007</c:v>
                </c:pt>
                <c:pt idx="13">
                  <c:v>17.679999999999978</c:v>
                </c:pt>
                <c:pt idx="14">
                  <c:v>17.379999999999995</c:v>
                </c:pt>
                <c:pt idx="15">
                  <c:v>16.78000000000003</c:v>
                </c:pt>
                <c:pt idx="16">
                  <c:v>17.979999999999961</c:v>
                </c:pt>
                <c:pt idx="17">
                  <c:v>18.28000000000003</c:v>
                </c:pt>
                <c:pt idx="18">
                  <c:v>19.180000000000007</c:v>
                </c:pt>
                <c:pt idx="19">
                  <c:v>17.980000000000018</c:v>
                </c:pt>
                <c:pt idx="20">
                  <c:v>17.979999999999961</c:v>
                </c:pt>
              </c:numCache>
            </c:numRef>
          </c:yVal>
          <c:smooth val="1"/>
          <c:extLst>
            <c:ext xmlns:c15="http://schemas.microsoft.com/office/drawing/2012/chart" uri="{02D57815-91ED-43cb-92C2-25804820EDAC}">
              <c15:datalabelsRange>
                <c15:f>'Gamma_self Calc'!$B$40:$B$60</c15:f>
                <c15:dlblRangeCach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15:dlblRangeCache>
              </c15:datalabelsRange>
            </c:ext>
            <c:ext xmlns:c16="http://schemas.microsoft.com/office/drawing/2014/chart" uri="{C3380CC4-5D6E-409C-BE32-E72D297353CC}">
              <c16:uniqueId val="{00000001-0C13-4D85-B6EE-DCC0A411AEA1}"/>
            </c:ext>
          </c:extLst>
        </c:ser>
        <c:ser>
          <c:idx val="2"/>
          <c:order val="2"/>
          <c:tx>
            <c:v>(delreal)^3/50</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Calc'!$H$40:$H$60</c:f>
              <c:numCache>
                <c:formatCode>General</c:formatCode>
                <c:ptCount val="21"/>
                <c:pt idx="0">
                  <c:v>7.4029246400000002</c:v>
                </c:pt>
                <c:pt idx="1">
                  <c:v>7.4029246400000002</c:v>
                </c:pt>
                <c:pt idx="2">
                  <c:v>10.163391840000001</c:v>
                </c:pt>
                <c:pt idx="3">
                  <c:v>7.4029246400000002</c:v>
                </c:pt>
                <c:pt idx="4">
                  <c:v>12.196003839999987</c:v>
                </c:pt>
                <c:pt idx="5">
                  <c:v>10.163391840000015</c:v>
                </c:pt>
                <c:pt idx="6">
                  <c:v>11.353271040000005</c:v>
                </c:pt>
                <c:pt idx="7">
                  <c:v>11.353271040000005</c:v>
                </c:pt>
                <c:pt idx="8">
                  <c:v>9.4182190400000039</c:v>
                </c:pt>
                <c:pt idx="9">
                  <c:v>12.632574239999991</c:v>
                </c:pt>
                <c:pt idx="10">
                  <c:v>12.632574239999991</c:v>
                </c:pt>
                <c:pt idx="11">
                  <c:v>10.550282239999992</c:v>
                </c:pt>
                <c:pt idx="12">
                  <c:v>10.550282239999992</c:v>
                </c:pt>
                <c:pt idx="13">
                  <c:v>10.550282239999992</c:v>
                </c:pt>
                <c:pt idx="14">
                  <c:v>8.7103902399999935</c:v>
                </c:pt>
                <c:pt idx="15">
                  <c:v>8.7103902400000432</c:v>
                </c:pt>
                <c:pt idx="16">
                  <c:v>8.7103902399999455</c:v>
                </c:pt>
                <c:pt idx="17">
                  <c:v>7.7165670400000037</c:v>
                </c:pt>
                <c:pt idx="18">
                  <c:v>6.8013678400000526</c:v>
                </c:pt>
                <c:pt idx="19">
                  <c:v>6.80136783999997</c:v>
                </c:pt>
                <c:pt idx="20">
                  <c:v>6.80136783999997</c:v>
                </c:pt>
              </c:numCache>
            </c:numRef>
          </c:yVal>
          <c:smooth val="1"/>
          <c:extLst>
            <c:ext xmlns:c16="http://schemas.microsoft.com/office/drawing/2014/chart" uri="{C3380CC4-5D6E-409C-BE32-E72D297353CC}">
              <c16:uniqueId val="{00000000-0203-40E7-8A42-23EAB23FEB03}"/>
            </c:ext>
          </c:extLst>
        </c:ser>
        <c:ser>
          <c:idx val="3"/>
          <c:order val="3"/>
          <c:tx>
            <c:v>(delimag)^3/400</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'Gamma_self Calc'!$B$40:$B$60</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xVal>
          <c:yVal>
            <c:numRef>
              <c:f>'Gamma_self Calc'!$I$40:$I$60</c:f>
              <c:numCache>
                <c:formatCode>General</c:formatCode>
                <c:ptCount val="21"/>
                <c:pt idx="0">
                  <c:v>16.035301779999998</c:v>
                </c:pt>
                <c:pt idx="1">
                  <c:v>16.035301779999998</c:v>
                </c:pt>
                <c:pt idx="2">
                  <c:v>16.035301779999998</c:v>
                </c:pt>
                <c:pt idx="3">
                  <c:v>16.035301779999998</c:v>
                </c:pt>
                <c:pt idx="4">
                  <c:v>20.240961279999993</c:v>
                </c:pt>
                <c:pt idx="5">
                  <c:v>17.639481580000016</c:v>
                </c:pt>
                <c:pt idx="6">
                  <c:v>16.295610080000017</c:v>
                </c:pt>
                <c:pt idx="7">
                  <c:v>15.271038880000003</c:v>
                </c:pt>
                <c:pt idx="8">
                  <c:v>14.051907380000003</c:v>
                </c:pt>
                <c:pt idx="9">
                  <c:v>10.589502579999957</c:v>
                </c:pt>
                <c:pt idx="10">
                  <c:v>13.124698180000054</c:v>
                </c:pt>
                <c:pt idx="11">
                  <c:v>11.18952447999998</c:v>
                </c:pt>
                <c:pt idx="12">
                  <c:v>13.816142080000015</c:v>
                </c:pt>
                <c:pt idx="13">
                  <c:v>13.816142079999947</c:v>
                </c:pt>
                <c:pt idx="14">
                  <c:v>13.12469817999999</c:v>
                </c:pt>
                <c:pt idx="15">
                  <c:v>11.811794380000062</c:v>
                </c:pt>
                <c:pt idx="16">
                  <c:v>14.531453979999908</c:v>
                </c:pt>
                <c:pt idx="17">
                  <c:v>15.271038880000075</c:v>
                </c:pt>
                <c:pt idx="18">
                  <c:v>17.639481580000016</c:v>
                </c:pt>
                <c:pt idx="19">
                  <c:v>14.531453980000045</c:v>
                </c:pt>
                <c:pt idx="20">
                  <c:v>14.531453979999908</c:v>
                </c:pt>
              </c:numCache>
            </c:numRef>
          </c:yVal>
          <c:smooth val="1"/>
          <c:extLst>
            <c:ext xmlns:c16="http://schemas.microsoft.com/office/drawing/2014/chart" uri="{C3380CC4-5D6E-409C-BE32-E72D297353CC}">
              <c16:uniqueId val="{00000001-0203-40E7-8A42-23EAB23FEB03}"/>
            </c:ext>
          </c:extLst>
        </c:ser>
        <c:dLbls>
          <c:showLegendKey val="0"/>
          <c:showVal val="0"/>
          <c:showCatName val="0"/>
          <c:showSerName val="0"/>
          <c:showPercent val="0"/>
          <c:showBubbleSize val="0"/>
        </c:dLbls>
        <c:axId val="57916576"/>
        <c:axId val="57917056"/>
      </c:scatterChart>
      <c:valAx>
        <c:axId val="57916576"/>
        <c:scaling>
          <c:orientation val="minMax"/>
          <c:max val="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7056"/>
        <c:crosses val="autoZero"/>
        <c:crossBetween val="midCat"/>
      </c:valAx>
      <c:valAx>
        <c:axId val="57917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576"/>
        <c:crosses val="autoZero"/>
        <c:crossBetween val="midCat"/>
      </c:valAx>
      <c:spPr>
        <a:noFill/>
        <a:ln>
          <a:noFill/>
        </a:ln>
        <a:effectLst/>
      </c:spPr>
    </c:plotArea>
    <c:legend>
      <c:legendPos val="r"/>
      <c:layout>
        <c:manualLayout>
          <c:xMode val="edge"/>
          <c:yMode val="edge"/>
          <c:x val="0.21459674315967323"/>
          <c:y val="0.74132310281238523"/>
          <c:w val="0.37186375416011519"/>
          <c:h val="0.1701256480284867"/>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164432</xdr:colOff>
      <xdr:row>2</xdr:row>
      <xdr:rowOff>56147</xdr:rowOff>
    </xdr:from>
    <xdr:to>
      <xdr:col>15</xdr:col>
      <xdr:colOff>152400</xdr:colOff>
      <xdr:row>22</xdr:row>
      <xdr:rowOff>136358</xdr:rowOff>
    </xdr:to>
    <xdr:graphicFrame macro="">
      <xdr:nvGraphicFramePr>
        <xdr:cNvPr id="6" name="Chart 5">
          <a:extLst>
            <a:ext uri="{FF2B5EF4-FFF2-40B4-BE49-F238E27FC236}">
              <a16:creationId xmlns:a16="http://schemas.microsoft.com/office/drawing/2014/main" id="{903B8FE1-7F21-A6FB-B765-4C249C0B9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Q534"/>
  <sheetViews>
    <sheetView tabSelected="1" topLeftCell="G2" zoomScale="95" zoomScaleNormal="95" workbookViewId="0">
      <selection activeCell="Q17" sqref="Q17"/>
    </sheetView>
  </sheetViews>
  <sheetFormatPr defaultRowHeight="14.4" x14ac:dyDescent="0.3"/>
  <cols>
    <col min="2" max="3" width="13.44140625" bestFit="1" customWidth="1"/>
    <col min="6" max="6" width="11.21875" customWidth="1"/>
    <col min="7" max="7" width="11.441406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6" t="s">
        <v>119</v>
      </c>
      <c r="B1" s="16"/>
      <c r="C1" s="9" t="s">
        <v>121</v>
      </c>
    </row>
    <row r="26" spans="1:17" ht="43.2" customHeight="1" x14ac:dyDescent="0.3">
      <c r="A26" s="17" t="s">
        <v>124</v>
      </c>
      <c r="B26" s="17"/>
      <c r="C26" s="10" t="s">
        <v>149</v>
      </c>
      <c r="G26" s="4"/>
      <c r="K26" s="12" t="s">
        <v>152</v>
      </c>
      <c r="L26" s="12"/>
      <c r="M26" s="12"/>
      <c r="N26" s="12"/>
      <c r="O26" s="12"/>
      <c r="P26" s="12"/>
      <c r="Q26" s="12"/>
    </row>
    <row r="27" spans="1:17" x14ac:dyDescent="0.3">
      <c r="A27" s="17" t="s">
        <v>117</v>
      </c>
      <c r="B27" s="17"/>
      <c r="C27" s="4" t="str">
        <f ca="1">VLOOKUP("Name",INDIRECT(C$26&amp;"!$A1:$K1000"),2,FALSE)</f>
        <v>AI Drift Demonstration</v>
      </c>
      <c r="G27" s="4"/>
      <c r="K27" s="12"/>
      <c r="L27" s="12"/>
      <c r="M27" s="12"/>
      <c r="N27" s="12"/>
      <c r="O27" s="12"/>
      <c r="P27" s="12"/>
      <c r="Q27" s="12"/>
    </row>
    <row r="28" spans="1:17" x14ac:dyDescent="0.3">
      <c r="A28" s="17" t="s">
        <v>108</v>
      </c>
      <c r="B28" s="17"/>
      <c r="C28" s="4" t="str">
        <f ca="1">VLOOKUP("time_unit",INDIRECT(C$26&amp;"!$A1:$K1000"),2,FALSE)</f>
        <v>events</v>
      </c>
      <c r="G28" s="4"/>
      <c r="K28" s="12"/>
      <c r="L28" s="12"/>
      <c r="M28" s="12"/>
      <c r="N28" s="12"/>
      <c r="O28" s="12"/>
      <c r="P28" s="12"/>
      <c r="Q28" s="12"/>
    </row>
    <row r="29" spans="1:17" x14ac:dyDescent="0.3">
      <c r="A29" s="6" t="s">
        <v>107</v>
      </c>
      <c r="B29" s="6"/>
      <c r="C29" s="11" t="s">
        <v>109</v>
      </c>
      <c r="G29" s="4"/>
      <c r="K29" s="12"/>
      <c r="L29" s="12"/>
      <c r="M29" s="12"/>
      <c r="N29" s="12"/>
      <c r="O29" s="12"/>
      <c r="P29" s="12"/>
      <c r="Q29" s="12"/>
    </row>
    <row r="30" spans="1:17" ht="15.6" customHeight="1" x14ac:dyDescent="0.35">
      <c r="A30" s="18" t="s">
        <v>106</v>
      </c>
      <c r="B30" s="17"/>
      <c r="C30" s="4" t="str">
        <f ca="1">VLOOKUP("gamma_self_0",INDIRECT(C$26&amp;"!A1:K1000"),2,TRUE)</f>
        <v>0.80+0j</v>
      </c>
      <c r="G30" s="4"/>
      <c r="K30" s="12"/>
      <c r="L30" s="12"/>
      <c r="M30" s="12"/>
      <c r="N30" s="12"/>
      <c r="O30" s="12"/>
      <c r="P30" s="12"/>
      <c r="Q30" s="12"/>
    </row>
    <row r="31" spans="1:17" ht="14.4" customHeight="1" x14ac:dyDescent="0.3">
      <c r="A31" s="13" t="s">
        <v>104</v>
      </c>
      <c r="B31" s="13"/>
      <c r="C31" cm="1">
        <f t="array" aca="1" ref="C31" ca="1">_xlfn.XMATCH(TRUE,ISNUMBER(INDIRECT(C$26&amp;"!A:A")))</f>
        <v>5</v>
      </c>
      <c r="K31" s="12"/>
      <c r="L31" s="12"/>
      <c r="M31" s="12"/>
      <c r="N31" s="12"/>
      <c r="O31" s="12"/>
      <c r="P31" s="12"/>
      <c r="Q31" s="12"/>
    </row>
    <row r="32" spans="1:17" ht="27" customHeight="1" x14ac:dyDescent="0.3">
      <c r="A32" s="13" t="s">
        <v>113</v>
      </c>
      <c r="B32" s="13"/>
      <c r="C32">
        <f>MATCH("Index/Label",B:B,0)+1</f>
        <v>40</v>
      </c>
      <c r="K32" s="12"/>
      <c r="L32" s="12"/>
      <c r="M32" s="12"/>
      <c r="N32" s="12"/>
      <c r="O32" s="12"/>
      <c r="P32" s="12"/>
      <c r="Q32" s="12"/>
    </row>
    <row r="33" spans="1:17" ht="27" customHeight="1" x14ac:dyDescent="0.3">
      <c r="A33" s="13" t="s">
        <v>120</v>
      </c>
      <c r="B33" s="13"/>
      <c r="C33">
        <f ca="1">COUNTA(INDIRECT(C$26&amp;"!B1:B1000"))</f>
        <v>25</v>
      </c>
      <c r="K33" s="12"/>
      <c r="L33" s="12"/>
      <c r="M33" s="12"/>
      <c r="N33" s="12"/>
      <c r="O33" s="12"/>
      <c r="P33" s="12"/>
      <c r="Q33" s="12"/>
    </row>
    <row r="34" spans="1:17" ht="27" customHeight="1" x14ac:dyDescent="0.3">
      <c r="A34" s="14" t="s">
        <v>116</v>
      </c>
      <c r="B34" s="14"/>
      <c r="C34">
        <f>COLUMN(B3)</f>
        <v>2</v>
      </c>
      <c r="K34" s="12"/>
      <c r="L34" s="12"/>
      <c r="M34" s="12"/>
      <c r="N34" s="12"/>
      <c r="O34" s="12"/>
      <c r="P34" s="12"/>
      <c r="Q34" s="12"/>
    </row>
    <row r="35" spans="1:17" ht="27" customHeight="1" x14ac:dyDescent="0.3">
      <c r="A35" s="14" t="s">
        <v>123</v>
      </c>
      <c r="B35" s="14"/>
      <c r="C35">
        <f ca="1">C32+(C33-C31)</f>
        <v>60</v>
      </c>
      <c r="K35" s="12"/>
      <c r="L35" s="12"/>
      <c r="M35" s="12"/>
      <c r="N35" s="12"/>
      <c r="O35" s="12"/>
      <c r="P35" s="12"/>
      <c r="Q35" s="12"/>
    </row>
    <row r="36" spans="1:17" ht="27" customHeight="1" x14ac:dyDescent="0.3">
      <c r="A36" s="14"/>
      <c r="B36" s="14"/>
      <c r="K36" s="12"/>
      <c r="L36" s="12"/>
      <c r="M36" s="12"/>
      <c r="N36" s="12"/>
      <c r="O36" s="12"/>
      <c r="P36" s="12"/>
      <c r="Q36" s="12"/>
    </row>
    <row r="37" spans="1:17" ht="27" customHeight="1" x14ac:dyDescent="0.3">
      <c r="A37" s="7"/>
      <c r="B37" s="7"/>
      <c r="K37" s="12"/>
      <c r="L37" s="12"/>
      <c r="M37" s="12"/>
      <c r="N37" s="12"/>
      <c r="O37" s="12"/>
      <c r="P37" s="12"/>
      <c r="Q37" s="12"/>
    </row>
    <row r="38" spans="1:17" x14ac:dyDescent="0.3">
      <c r="B38" s="15" t="s">
        <v>122</v>
      </c>
      <c r="C38" s="15"/>
      <c r="D38" s="15"/>
      <c r="E38" s="15"/>
    </row>
    <row r="39" spans="1:17" ht="58.2" x14ac:dyDescent="0.35">
      <c r="B39" s="8" t="s">
        <v>118</v>
      </c>
      <c r="C39" s="5" t="s">
        <v>105</v>
      </c>
      <c r="D39" s="5" t="s">
        <v>114</v>
      </c>
      <c r="E39" s="5" t="s">
        <v>115</v>
      </c>
      <c r="F39" s="8" t="s">
        <v>150</v>
      </c>
      <c r="G39" s="8" t="s">
        <v>151</v>
      </c>
      <c r="H39" s="8" t="s">
        <v>153</v>
      </c>
      <c r="I39" s="8" t="s">
        <v>154</v>
      </c>
    </row>
    <row r="40" spans="1:17" x14ac:dyDescent="0.3">
      <c r="B40" cm="1">
        <f t="array" aca="1" ref="B40" ca="1">IF(OR(INDIRECT(C$26&amp;"!B"&amp;(ROW()-C$32+C$31))="",$C$1="M2"),"",ROW(B40)-C$32)</f>
        <v>0</v>
      </c>
      <c r="C40" t="str" cm="1">
        <f t="array" aca="1" ref="C40" ca="1">IF(ROW()&gt;(C$33+C$32-C$31),"",GammaSelfNext(C$29,INDIRECT(C$26&amp;"!A"&amp;ROW()-C$32+C$31&amp;":F"&amp;ROW()-C$32+C$31),C30))</f>
        <v>7.98+18j</v>
      </c>
      <c r="D40">
        <f ca="1">IF(C40="",NA(),IMREAL(C40))</f>
        <v>7.98</v>
      </c>
      <c r="E40">
        <f ca="1">IF(C40="",NA(),IMAGINARY(C40))</f>
        <v>18</v>
      </c>
      <c r="F40">
        <f ca="1">F41</f>
        <v>7.18</v>
      </c>
      <c r="G40">
        <f ca="1">G41</f>
        <v>18.579999999999998</v>
      </c>
      <c r="H40">
        <f ca="1">(F40)^3/50</f>
        <v>7.4029246400000002</v>
      </c>
      <c r="I40">
        <f ca="1">(G40)^3/400</f>
        <v>16.035301779999998</v>
      </c>
    </row>
    <row r="41" spans="1:17" x14ac:dyDescent="0.3">
      <c r="B41" cm="1">
        <f t="array" aca="1" ref="B41" ca="1">IF(OR(INDIRECT(C$26&amp;"!B"&amp;(ROW()-C$32+C$31))="",$C$1="M2"),"",ROW(B41)-C$32)</f>
        <v>1</v>
      </c>
      <c r="C41" t="str" cm="1">
        <f t="array" aca="1" ref="C41" ca="1">IF(ROW()&gt;(C$33+C$32-C$31),"",GammaSelfNext(C$29,INDIRECT(C$26&amp;"!A"&amp;ROW()-C$32+C$31&amp;":F"&amp;ROW()-C$32+C$31),C40))</f>
        <v>15.16+36.58j</v>
      </c>
      <c r="D41">
        <f t="shared" ref="D41:D104" ca="1" si="0">IF(C41="",NA(),IMREAL(C41))</f>
        <v>15.16</v>
      </c>
      <c r="E41">
        <f t="shared" ref="E41:E104" ca="1" si="1">IF(C41="",NA(),IMAGINARY(C41))</f>
        <v>36.58</v>
      </c>
      <c r="F41">
        <f ca="1">D41-D40</f>
        <v>7.18</v>
      </c>
      <c r="G41">
        <f ca="1">E41-E40</f>
        <v>18.579999999999998</v>
      </c>
      <c r="H41">
        <f t="shared" ref="H41:H60" ca="1" si="2">(F41)^3/50</f>
        <v>7.4029246400000002</v>
      </c>
      <c r="I41">
        <f t="shared" ref="I41:I60" ca="1" si="3">(G41)^3/400</f>
        <v>16.035301779999998</v>
      </c>
    </row>
    <row r="42" spans="1:17" x14ac:dyDescent="0.3">
      <c r="B42" cm="1">
        <f t="array" aca="1" ref="B42" ca="1">IF(OR(INDIRECT(C$26&amp;"!B"&amp;(ROW()-C$32+C$31))="",$C$1="M2"),"",ROW(B42)-C$32)</f>
        <v>2</v>
      </c>
      <c r="C42" t="str" cm="1">
        <f t="array" aca="1" ref="C42" ca="1">IF(ROW()&gt;(C$33+C$32-C$31),"",GammaSelfNext(C$29,INDIRECT(C$26&amp;"!A"&amp;ROW()-C$32+C$31&amp;":F"&amp;ROW()-C$32+C$31),C41))</f>
        <v>23.14+55.16j</v>
      </c>
      <c r="D42">
        <f t="shared" ca="1" si="0"/>
        <v>23.14</v>
      </c>
      <c r="E42">
        <f t="shared" ca="1" si="1"/>
        <v>55.16</v>
      </c>
      <c r="F42">
        <f t="shared" ref="F42:F60" ca="1" si="4">D42-D41</f>
        <v>7.98</v>
      </c>
      <c r="G42">
        <f t="shared" ref="G42:G60" ca="1" si="5">E42-E41</f>
        <v>18.579999999999998</v>
      </c>
      <c r="H42">
        <f t="shared" ca="1" si="2"/>
        <v>10.163391840000001</v>
      </c>
      <c r="I42">
        <f t="shared" ca="1" si="3"/>
        <v>16.035301779999998</v>
      </c>
    </row>
    <row r="43" spans="1:17" x14ac:dyDescent="0.3">
      <c r="B43" cm="1">
        <f t="array" aca="1" ref="B43" ca="1">IF(OR(INDIRECT(C$26&amp;"!B"&amp;(ROW()-C$32+C$31))="",$C$1="M2"),"",ROW(B43)-C$32)</f>
        <v>3</v>
      </c>
      <c r="C43" t="str" cm="1">
        <f t="array" aca="1" ref="C43" ca="1">IF(ROW()&gt;(C$33+C$32-C$31),"",GammaSelfNext(C$29,INDIRECT(C$26&amp;"!A"&amp;ROW()-C$32+C$31&amp;":F"&amp;ROW()-C$32+C$31),C42))</f>
        <v>30.32+73.74j</v>
      </c>
      <c r="D43">
        <f t="shared" ca="1" si="0"/>
        <v>30.32</v>
      </c>
      <c r="E43">
        <f t="shared" ca="1" si="1"/>
        <v>73.739999999999995</v>
      </c>
      <c r="F43">
        <f t="shared" ca="1" si="4"/>
        <v>7.18</v>
      </c>
      <c r="G43">
        <f t="shared" ca="1" si="5"/>
        <v>18.579999999999998</v>
      </c>
      <c r="H43">
        <f t="shared" ca="1" si="2"/>
        <v>7.4029246400000002</v>
      </c>
      <c r="I43">
        <f t="shared" ca="1" si="3"/>
        <v>16.035301779999998</v>
      </c>
    </row>
    <row r="44" spans="1:17" x14ac:dyDescent="0.3">
      <c r="B44" cm="1">
        <f t="array" aca="1" ref="B44" ca="1">IF(OR(INDIRECT(C$26&amp;"!B"&amp;(ROW()-C$32+C$31))="",$C$1="M2"),"",ROW(B44)-C$32)</f>
        <v>4</v>
      </c>
      <c r="C44" t="str" cm="1">
        <f t="array" aca="1" ref="C44" ca="1">IF(ROW()&gt;(C$33+C$32-C$31),"",GammaSelfNext(C$29,INDIRECT(C$26&amp;"!A"&amp;ROW()-C$32+C$31&amp;":F"&amp;ROW()-C$32+C$31),C43))</f>
        <v>38.8+93.82j</v>
      </c>
      <c r="D44">
        <f t="shared" ca="1" si="0"/>
        <v>38.799999999999997</v>
      </c>
      <c r="E44">
        <f t="shared" ca="1" si="1"/>
        <v>93.82</v>
      </c>
      <c r="F44">
        <f t="shared" ca="1" si="4"/>
        <v>8.4799999999999969</v>
      </c>
      <c r="G44">
        <f t="shared" ca="1" si="5"/>
        <v>20.079999999999998</v>
      </c>
      <c r="H44">
        <f t="shared" ca="1" si="2"/>
        <v>12.196003839999987</v>
      </c>
      <c r="I44">
        <f t="shared" ca="1" si="3"/>
        <v>20.240961279999993</v>
      </c>
    </row>
    <row r="45" spans="1:17" x14ac:dyDescent="0.3">
      <c r="B45" cm="1">
        <f t="array" aca="1" ref="B45" ca="1">IF(OR(INDIRECT(C$26&amp;"!B"&amp;(ROW()-C$32+C$31))="",$C$1="M2"),"",ROW(B45)-C$32)</f>
        <v>5</v>
      </c>
      <c r="C45" t="str" cm="1">
        <f t="array" aca="1" ref="C45" ca="1">IF(ROW()&gt;(C$33+C$32-C$31),"",GammaSelfNext(C$29,INDIRECT(C$26&amp;"!A"&amp;ROW()-C$32+C$31&amp;":F"&amp;ROW()-C$32+C$31),C44))</f>
        <v>46.78+113j</v>
      </c>
      <c r="D45">
        <f t="shared" ca="1" si="0"/>
        <v>46.78</v>
      </c>
      <c r="E45">
        <f t="shared" ca="1" si="1"/>
        <v>113</v>
      </c>
      <c r="F45">
        <f t="shared" ca="1" si="4"/>
        <v>7.980000000000004</v>
      </c>
      <c r="G45">
        <f t="shared" ca="1" si="5"/>
        <v>19.180000000000007</v>
      </c>
      <c r="H45">
        <f t="shared" ca="1" si="2"/>
        <v>10.163391840000015</v>
      </c>
      <c r="I45">
        <f t="shared" ca="1" si="3"/>
        <v>17.639481580000016</v>
      </c>
    </row>
    <row r="46" spans="1:17" x14ac:dyDescent="0.3">
      <c r="B46" cm="1">
        <f t="array" aca="1" ref="B46" ca="1">IF(OR(INDIRECT(C$26&amp;"!B"&amp;(ROW()-C$32+C$31))="",$C$1="M2"),"",ROW(B46)-C$32)</f>
        <v>6</v>
      </c>
      <c r="C46" t="str" cm="1">
        <f t="array" aca="1" ref="C46" ca="1">IF(ROW()&gt;(C$33+C$32-C$31),"",GammaSelfNext(C$29,INDIRECT(C$26&amp;"!A"&amp;ROW()-C$32+C$31&amp;":F"&amp;ROW()-C$32+C$31),C45))</f>
        <v>55.06+131.68j</v>
      </c>
      <c r="D46">
        <f t="shared" ca="1" si="0"/>
        <v>55.06</v>
      </c>
      <c r="E46">
        <f t="shared" ca="1" si="1"/>
        <v>131.68</v>
      </c>
      <c r="F46">
        <f t="shared" ca="1" si="4"/>
        <v>8.2800000000000011</v>
      </c>
      <c r="G46">
        <f t="shared" ca="1" si="5"/>
        <v>18.680000000000007</v>
      </c>
      <c r="H46">
        <f t="shared" ca="1" si="2"/>
        <v>11.353271040000005</v>
      </c>
      <c r="I46">
        <f t="shared" ca="1" si="3"/>
        <v>16.295610080000017</v>
      </c>
    </row>
    <row r="47" spans="1:17" x14ac:dyDescent="0.3">
      <c r="B47" cm="1">
        <f t="array" aca="1" ref="B47" ca="1">IF(OR(INDIRECT(C$26&amp;"!B"&amp;(ROW()-C$32+C$31))="",$C$1="M2"),"",ROW(B47)-C$32)</f>
        <v>7</v>
      </c>
      <c r="C47" t="str" cm="1">
        <f t="array" aca="1" ref="C47" ca="1">IF(ROW()&gt;(C$33+C$32-C$31),"",GammaSelfNext(C$29,INDIRECT(C$26&amp;"!A"&amp;ROW()-C$32+C$31&amp;":F"&amp;ROW()-C$32+C$31),C46))</f>
        <v>63.34+149.96j</v>
      </c>
      <c r="D47">
        <f t="shared" ca="1" si="0"/>
        <v>63.34</v>
      </c>
      <c r="E47">
        <f t="shared" ca="1" si="1"/>
        <v>149.96</v>
      </c>
      <c r="F47">
        <f t="shared" ca="1" si="4"/>
        <v>8.2800000000000011</v>
      </c>
      <c r="G47">
        <f t="shared" ca="1" si="5"/>
        <v>18.28</v>
      </c>
      <c r="H47">
        <f t="shared" ca="1" si="2"/>
        <v>11.353271040000005</v>
      </c>
      <c r="I47">
        <f t="shared" ca="1" si="3"/>
        <v>15.271038880000003</v>
      </c>
    </row>
    <row r="48" spans="1:17" x14ac:dyDescent="0.3">
      <c r="B48" cm="1">
        <f t="array" aca="1" ref="B48" ca="1">IF(OR(INDIRECT(C$26&amp;"!B"&amp;(ROW()-C$32+C$31))="",$C$1="M2"),"",ROW(B48)-C$32)</f>
        <v>8</v>
      </c>
      <c r="C48" t="str" cm="1">
        <f t="array" aca="1" ref="C48" ca="1">IF(ROW()&gt;(C$33+C$32-C$31),"",GammaSelfNext(C$29,INDIRECT(C$26&amp;"!A"&amp;ROW()-C$32+C$31&amp;":F"&amp;ROW()-C$32+C$31),C47))</f>
        <v>71.12+167.74j</v>
      </c>
      <c r="D48">
        <f t="shared" ca="1" si="0"/>
        <v>71.12</v>
      </c>
      <c r="E48">
        <f t="shared" ca="1" si="1"/>
        <v>167.74</v>
      </c>
      <c r="F48">
        <f t="shared" ca="1" si="4"/>
        <v>7.7800000000000011</v>
      </c>
      <c r="G48">
        <f t="shared" ca="1" si="5"/>
        <v>17.78</v>
      </c>
      <c r="H48">
        <f t="shared" ca="1" si="2"/>
        <v>9.4182190400000039</v>
      </c>
      <c r="I48">
        <f t="shared" ca="1" si="3"/>
        <v>14.051907380000003</v>
      </c>
    </row>
    <row r="49" spans="1:9" x14ac:dyDescent="0.3">
      <c r="B49" cm="1">
        <f t="array" aca="1" ref="B49" ca="1">IF(OR(INDIRECT(C$26&amp;"!B"&amp;(ROW()-C$32+C$31))="",$C$1="M2"),"",ROW(B49)-C$32)</f>
        <v>9</v>
      </c>
      <c r="C49" t="str" cm="1">
        <f t="array" aca="1" ref="C49" ca="1">IF(ROW()&gt;(C$33+C$32-C$31),"",GammaSelfNext(C$29,INDIRECT(C$26&amp;"!A"&amp;ROW()-C$32+C$31&amp;":F"&amp;ROW()-C$32+C$31),C48))</f>
        <v>79.7+183.92j</v>
      </c>
      <c r="D49">
        <f t="shared" ca="1" si="0"/>
        <v>79.7</v>
      </c>
      <c r="E49">
        <f t="shared" ca="1" si="1"/>
        <v>183.92</v>
      </c>
      <c r="F49">
        <f t="shared" ca="1" si="4"/>
        <v>8.5799999999999983</v>
      </c>
      <c r="G49">
        <f t="shared" ca="1" si="5"/>
        <v>16.179999999999978</v>
      </c>
      <c r="H49">
        <f t="shared" ca="1" si="2"/>
        <v>12.632574239999991</v>
      </c>
      <c r="I49">
        <f t="shared" ca="1" si="3"/>
        <v>10.589502579999957</v>
      </c>
    </row>
    <row r="50" spans="1:9" x14ac:dyDescent="0.3">
      <c r="B50" cm="1">
        <f t="array" aca="1" ref="B50" ca="1">IF(OR(INDIRECT(C$26&amp;"!B"&amp;(ROW()-C$32+C$31))="",$C$1="M2"),"",ROW(B50)-C$32)</f>
        <v>10</v>
      </c>
      <c r="C50" t="str" cm="1">
        <f t="array" aca="1" ref="C50" ca="1">IF(ROW()&gt;(C$33+C$32-C$31),"",GammaSelfNext(C$29,INDIRECT(C$26&amp;"!A"&amp;ROW()-C$32+C$31&amp;":F"&amp;ROW()-C$32+C$31),C49))</f>
        <v>88.28+201.3j</v>
      </c>
      <c r="D50">
        <f t="shared" ca="1" si="0"/>
        <v>88.28</v>
      </c>
      <c r="E50">
        <f t="shared" ca="1" si="1"/>
        <v>201.3</v>
      </c>
      <c r="F50">
        <f t="shared" ca="1" si="4"/>
        <v>8.5799999999999983</v>
      </c>
      <c r="G50">
        <f t="shared" ca="1" si="5"/>
        <v>17.380000000000024</v>
      </c>
      <c r="H50">
        <f t="shared" ca="1" si="2"/>
        <v>12.632574239999991</v>
      </c>
      <c r="I50">
        <f t="shared" ca="1" si="3"/>
        <v>13.124698180000054</v>
      </c>
    </row>
    <row r="51" spans="1:9" x14ac:dyDescent="0.3">
      <c r="B51" cm="1">
        <f t="array" aca="1" ref="B51" ca="1">IF(OR(INDIRECT(C$26&amp;"!B"&amp;(ROW()-C$32+C$31))="",$C$1="M2"),"",ROW(B51)-C$32)</f>
        <v>11</v>
      </c>
      <c r="C51" t="str" cm="1">
        <f t="array" aca="1" ref="C51" ca="1">IF(ROW()&gt;(C$33+C$32-C$31),"",GammaSelfNext(C$29,INDIRECT(C$26&amp;"!A"&amp;ROW()-C$32+C$31&amp;":F"&amp;ROW()-C$32+C$31),C50))</f>
        <v>96.36+217.78j</v>
      </c>
      <c r="D51">
        <f t="shared" ca="1" si="0"/>
        <v>96.36</v>
      </c>
      <c r="E51">
        <f t="shared" ca="1" si="1"/>
        <v>217.78</v>
      </c>
      <c r="F51">
        <f t="shared" ca="1" si="4"/>
        <v>8.0799999999999983</v>
      </c>
      <c r="G51">
        <f t="shared" ca="1" si="5"/>
        <v>16.47999999999999</v>
      </c>
      <c r="H51">
        <f t="shared" ca="1" si="2"/>
        <v>10.550282239999992</v>
      </c>
      <c r="I51">
        <f t="shared" ca="1" si="3"/>
        <v>11.18952447999998</v>
      </c>
    </row>
    <row r="52" spans="1:9" x14ac:dyDescent="0.3">
      <c r="B52" cm="1">
        <f t="array" aca="1" ref="B52" ca="1">IF(OR(INDIRECT(C$26&amp;"!B"&amp;(ROW()-C$32+C$31))="",$C$1="M2"),"",ROW(B52)-C$32)</f>
        <v>12</v>
      </c>
      <c r="C52" t="str" cm="1">
        <f t="array" aca="1" ref="C52" ca="1">IF(ROW()&gt;(C$33+C$32-C$31),"",GammaSelfNext(C$29,INDIRECT(C$26&amp;"!A"&amp;ROW()-C$32+C$31&amp;":F"&amp;ROW()-C$32+C$31),C51))</f>
        <v>104.44+235.46j</v>
      </c>
      <c r="D52">
        <f t="shared" ca="1" si="0"/>
        <v>104.44</v>
      </c>
      <c r="E52">
        <f t="shared" ca="1" si="1"/>
        <v>235.46</v>
      </c>
      <c r="F52">
        <f t="shared" ca="1" si="4"/>
        <v>8.0799999999999983</v>
      </c>
      <c r="G52">
        <f t="shared" ca="1" si="5"/>
        <v>17.680000000000007</v>
      </c>
      <c r="H52">
        <f t="shared" ca="1" si="2"/>
        <v>10.550282239999992</v>
      </c>
      <c r="I52">
        <f t="shared" ca="1" si="3"/>
        <v>13.816142080000015</v>
      </c>
    </row>
    <row r="53" spans="1:9" x14ac:dyDescent="0.3">
      <c r="B53" cm="1">
        <f t="array" aca="1" ref="B53" ca="1">IF(OR(INDIRECT(C$26&amp;"!B"&amp;(ROW()-C$32+C$31))="",$C$1="M2"),"",ROW(B53)-C$32)</f>
        <v>13</v>
      </c>
      <c r="C53" t="str" cm="1">
        <f t="array" aca="1" ref="C53" ca="1">IF(ROW()&gt;(C$33+C$32-C$31),"",GammaSelfNext(C$29,INDIRECT(C$26&amp;"!A"&amp;ROW()-C$32+C$31&amp;":F"&amp;ROW()-C$32+C$31),C52))</f>
        <v>112.52+253.14j</v>
      </c>
      <c r="D53">
        <f t="shared" ca="1" si="0"/>
        <v>112.52</v>
      </c>
      <c r="E53">
        <f t="shared" ca="1" si="1"/>
        <v>253.14</v>
      </c>
      <c r="F53">
        <f t="shared" ca="1" si="4"/>
        <v>8.0799999999999983</v>
      </c>
      <c r="G53">
        <f t="shared" ca="1" si="5"/>
        <v>17.679999999999978</v>
      </c>
      <c r="H53">
        <f t="shared" ca="1" si="2"/>
        <v>10.550282239999992</v>
      </c>
      <c r="I53">
        <f t="shared" ca="1" si="3"/>
        <v>13.816142079999947</v>
      </c>
    </row>
    <row r="54" spans="1:9" x14ac:dyDescent="0.3">
      <c r="B54" cm="1">
        <f t="array" aca="1" ref="B54" ca="1">IF(OR(INDIRECT(C$26&amp;"!B"&amp;(ROW()-C$32+C$31))="",$C$1="M2"),"",ROW(B54)-C$32)</f>
        <v>14</v>
      </c>
      <c r="C54" t="str" cm="1">
        <f t="array" aca="1" ref="C54" ca="1">IF(ROW()&gt;(C$33+C$32-C$31),"",GammaSelfNext(C$29,INDIRECT(C$26&amp;"!A"&amp;ROW()-C$32+C$31&amp;":F"&amp;ROW()-C$32+C$31),C53))</f>
        <v>120.1+270.52j</v>
      </c>
      <c r="D54">
        <f t="shared" ca="1" si="0"/>
        <v>120.1</v>
      </c>
      <c r="E54">
        <f t="shared" ca="1" si="1"/>
        <v>270.52</v>
      </c>
      <c r="F54">
        <f t="shared" ca="1" si="4"/>
        <v>7.5799999999999983</v>
      </c>
      <c r="G54">
        <f t="shared" ca="1" si="5"/>
        <v>17.379999999999995</v>
      </c>
      <c r="H54">
        <f t="shared" ca="1" si="2"/>
        <v>8.7103902399999935</v>
      </c>
      <c r="I54">
        <f t="shared" ca="1" si="3"/>
        <v>13.12469817999999</v>
      </c>
    </row>
    <row r="55" spans="1:9" x14ac:dyDescent="0.3">
      <c r="B55" cm="1">
        <f t="array" aca="1" ref="B55" ca="1">IF(OR(INDIRECT(C$26&amp;"!B"&amp;(ROW()-C$32+C$31))="",$C$1="M2"),"",ROW(B55)-C$32)</f>
        <v>15</v>
      </c>
      <c r="C55" t="str" cm="1">
        <f t="array" aca="1" ref="C55" ca="1">IF(ROW()&gt;(C$33+C$32-C$31),"",GammaSelfNext(C$29,INDIRECT(C$26&amp;"!A"&amp;ROW()-C$32+C$31&amp;":F"&amp;ROW()-C$32+C$31),C54))</f>
        <v>127.68+287.3j</v>
      </c>
      <c r="D55">
        <f t="shared" ca="1" si="0"/>
        <v>127.68</v>
      </c>
      <c r="E55">
        <f t="shared" ca="1" si="1"/>
        <v>287.3</v>
      </c>
      <c r="F55">
        <f t="shared" ca="1" si="4"/>
        <v>7.5800000000000125</v>
      </c>
      <c r="G55">
        <f t="shared" ca="1" si="5"/>
        <v>16.78000000000003</v>
      </c>
      <c r="H55">
        <f t="shared" ca="1" si="2"/>
        <v>8.7103902400000432</v>
      </c>
      <c r="I55">
        <f t="shared" ca="1" si="3"/>
        <v>11.811794380000062</v>
      </c>
    </row>
    <row r="56" spans="1:9" x14ac:dyDescent="0.3">
      <c r="B56" cm="1">
        <f t="array" aca="1" ref="B56" ca="1">IF(OR(INDIRECT(C$26&amp;"!B"&amp;(ROW()-C$32+C$31))="",$C$1="M2"),"",ROW(B56)-C$32)</f>
        <v>16</v>
      </c>
      <c r="C56" t="str" cm="1">
        <f t="array" aca="1" ref="C56" ca="1">IF(ROW()&gt;(C$33+C$32-C$31),"",GammaSelfNext(C$29,INDIRECT(C$26&amp;"!A"&amp;ROW()-C$32+C$31&amp;":F"&amp;ROW()-C$32+C$31),C55))</f>
        <v>135.26+305.28j</v>
      </c>
      <c r="D56">
        <f t="shared" ca="1" si="0"/>
        <v>135.26</v>
      </c>
      <c r="E56">
        <f t="shared" ca="1" si="1"/>
        <v>305.27999999999997</v>
      </c>
      <c r="F56">
        <f t="shared" ca="1" si="4"/>
        <v>7.5799999999999841</v>
      </c>
      <c r="G56">
        <f t="shared" ca="1" si="5"/>
        <v>17.979999999999961</v>
      </c>
      <c r="H56">
        <f t="shared" ca="1" si="2"/>
        <v>8.7103902399999455</v>
      </c>
      <c r="I56">
        <f t="shared" ca="1" si="3"/>
        <v>14.531453979999908</v>
      </c>
    </row>
    <row r="57" spans="1:9" x14ac:dyDescent="0.3">
      <c r="B57" cm="1">
        <f t="array" aca="1" ref="B57" ca="1">IF(OR(INDIRECT(C$26&amp;"!B"&amp;(ROW()-C$32+C$31))="",$C$1="M2"),"",ROW(B57)-C$32)</f>
        <v>17</v>
      </c>
      <c r="C57" t="str" cm="1">
        <f t="array" aca="1" ref="C57" ca="1">IF(ROW()&gt;(C$33+C$32-C$31),"",GammaSelfNext(C$29,INDIRECT(C$26&amp;"!A"&amp;ROW()-C$32+C$31&amp;":F"&amp;ROW()-C$32+C$31),C56))</f>
        <v>142.54+323.56j</v>
      </c>
      <c r="D57">
        <f t="shared" ca="1" si="0"/>
        <v>142.54</v>
      </c>
      <c r="E57">
        <f t="shared" ca="1" si="1"/>
        <v>323.56</v>
      </c>
      <c r="F57">
        <f t="shared" ca="1" si="4"/>
        <v>7.2800000000000011</v>
      </c>
      <c r="G57">
        <f t="shared" ca="1" si="5"/>
        <v>18.28000000000003</v>
      </c>
      <c r="H57">
        <f t="shared" ca="1" si="2"/>
        <v>7.7165670400000037</v>
      </c>
      <c r="I57">
        <f t="shared" ca="1" si="3"/>
        <v>15.271038880000075</v>
      </c>
    </row>
    <row r="58" spans="1:9" x14ac:dyDescent="0.3">
      <c r="B58" cm="1">
        <f t="array" aca="1" ref="B58" ca="1">IF(OR(INDIRECT(C$26&amp;"!B"&amp;(ROW()-C$32+C$31))="",$C$1="M2"),"",ROW(B58)-C$32)</f>
        <v>18</v>
      </c>
      <c r="C58" t="str" cm="1">
        <f t="array" aca="1" ref="C58" ca="1">IF(ROW()&gt;(C$33+C$32-C$31),"",GammaSelfNext(C$29,INDIRECT(C$26&amp;"!A"&amp;ROW()-C$32+C$31&amp;":F"&amp;ROW()-C$32+C$31),C57))</f>
        <v>149.52+342.74j</v>
      </c>
      <c r="D58">
        <f t="shared" ca="1" si="0"/>
        <v>149.52000000000001</v>
      </c>
      <c r="E58">
        <f t="shared" ca="1" si="1"/>
        <v>342.74</v>
      </c>
      <c r="F58">
        <f t="shared" ca="1" si="4"/>
        <v>6.9800000000000182</v>
      </c>
      <c r="G58">
        <f t="shared" ca="1" si="5"/>
        <v>19.180000000000007</v>
      </c>
      <c r="H58">
        <f t="shared" ca="1" si="2"/>
        <v>6.8013678400000526</v>
      </c>
      <c r="I58">
        <f t="shared" ca="1" si="3"/>
        <v>17.639481580000016</v>
      </c>
    </row>
    <row r="59" spans="1:9" x14ac:dyDescent="0.3">
      <c r="B59" cm="1">
        <f t="array" aca="1" ref="B59" ca="1">IF(OR(INDIRECT(C$26&amp;"!B"&amp;(ROW()-C$32+C$31))="",$C$1="M2"),"",ROW(B59)-C$32)</f>
        <v>19</v>
      </c>
      <c r="C59" t="str" cm="1">
        <f t="array" aca="1" ref="C59" ca="1">IF(ROW()&gt;(C$33+C$32-C$31),"",GammaSelfNext(C$29,INDIRECT(C$26&amp;"!A"&amp;ROW()-C$32+C$31&amp;":F"&amp;ROW()-C$32+C$31),C58))</f>
        <v>156.5+360.72j</v>
      </c>
      <c r="D59">
        <f t="shared" ca="1" si="0"/>
        <v>156.5</v>
      </c>
      <c r="E59">
        <f t="shared" ca="1" si="1"/>
        <v>360.72</v>
      </c>
      <c r="F59">
        <f t="shared" ca="1" si="4"/>
        <v>6.9799999999999898</v>
      </c>
      <c r="G59">
        <f t="shared" ca="1" si="5"/>
        <v>17.980000000000018</v>
      </c>
      <c r="H59">
        <f t="shared" ca="1" si="2"/>
        <v>6.80136783999997</v>
      </c>
      <c r="I59">
        <f t="shared" ca="1" si="3"/>
        <v>14.531453980000045</v>
      </c>
    </row>
    <row r="60" spans="1:9" x14ac:dyDescent="0.3">
      <c r="B60" cm="1">
        <f t="array" aca="1" ref="B60" ca="1">IF(OR(INDIRECT(C$26&amp;"!B"&amp;(ROW()-C$32+C$31))="",$C$1="M2"),"",ROW(B60)-C$32)</f>
        <v>20</v>
      </c>
      <c r="C60" t="str" cm="1">
        <f t="array" aca="1" ref="C60" ca="1">IF(ROW()&gt;(C$33+C$32-C$31),"",GammaSelfNext(C$29,INDIRECT(C$26&amp;"!A"&amp;ROW()-C$32+C$31&amp;":F"&amp;ROW()-C$32+C$31),C59))</f>
        <v>163.48+378.7j</v>
      </c>
      <c r="D60">
        <f t="shared" ca="1" si="0"/>
        <v>163.47999999999999</v>
      </c>
      <c r="E60">
        <f t="shared" ca="1" si="1"/>
        <v>378.7</v>
      </c>
      <c r="F60">
        <f t="shared" ca="1" si="4"/>
        <v>6.9799999999999898</v>
      </c>
      <c r="G60">
        <f t="shared" ca="1" si="5"/>
        <v>17.979999999999961</v>
      </c>
      <c r="H60">
        <f t="shared" ca="1" si="2"/>
        <v>6.80136783999997</v>
      </c>
      <c r="I60">
        <f t="shared" ca="1" si="3"/>
        <v>14.531453979999908</v>
      </c>
    </row>
    <row r="61" spans="1:9" x14ac:dyDescent="0.3">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row>
    <row r="62" spans="1:9"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row>
    <row r="63" spans="1:9"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row>
    <row r="64" spans="1:9"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row>
    <row r="65" spans="1:5"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row>
    <row r="66" spans="1:5"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row>
    <row r="67" spans="1:5"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row>
    <row r="68" spans="1:5"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row>
    <row r="69" spans="1:5"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row>
    <row r="70" spans="1:5"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row>
    <row r="71" spans="1:5"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row>
    <row r="72" spans="1:5"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row>
    <row r="73" spans="1:5"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row>
    <row r="74" spans="1:5"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row>
    <row r="75" spans="1:5"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row>
    <row r="76" spans="1:5"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row>
    <row r="77" spans="1:5"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row>
    <row r="78" spans="1:5"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row>
    <row r="79" spans="1:5"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row>
    <row r="80" spans="1:5"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row>
    <row r="81" spans="1:5"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row>
    <row r="82" spans="1:5"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row>
    <row r="83" spans="1:5"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row>
    <row r="84" spans="1:5"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row>
    <row r="85" spans="1:5"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row>
    <row r="86" spans="1:5"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row>
    <row r="87" spans="1:5"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row>
    <row r="88" spans="1:5"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row>
    <row r="89" spans="1:5"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row>
    <row r="90" spans="1:5"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row>
    <row r="91" spans="1:5"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row>
    <row r="92" spans="1:5"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row>
    <row r="93" spans="1:5"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row>
    <row r="94" spans="1:5"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row>
    <row r="95" spans="1:5"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row>
    <row r="96" spans="1:5"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row>
    <row r="97" spans="1:5"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row>
    <row r="98" spans="1:5"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row>
    <row r="99" spans="1:5"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row>
    <row r="100" spans="1:5"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row>
    <row r="101" spans="1:5"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row>
    <row r="102" spans="1:5"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row>
    <row r="103" spans="1:5"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row>
    <row r="104" spans="1:5"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row>
    <row r="105" spans="1:5"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6">IF(C105="",NA(),IMREAL(C105))</f>
        <v>#N/A</v>
      </c>
      <c r="E105" t="e">
        <f t="shared" ref="E105:E168" ca="1" si="7">IF(C105="",NA(),IMAGINARY(C105))</f>
        <v>#N/A</v>
      </c>
    </row>
    <row r="106" spans="1:5"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6"/>
        <v>#N/A</v>
      </c>
      <c r="E106" t="e">
        <f t="shared" ca="1" si="7"/>
        <v>#N/A</v>
      </c>
    </row>
    <row r="107" spans="1:5"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6"/>
        <v>#N/A</v>
      </c>
      <c r="E107" t="e">
        <f t="shared" ca="1" si="7"/>
        <v>#N/A</v>
      </c>
    </row>
    <row r="108" spans="1:5"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6"/>
        <v>#N/A</v>
      </c>
      <c r="E108" t="e">
        <f t="shared" ca="1" si="7"/>
        <v>#N/A</v>
      </c>
    </row>
    <row r="109" spans="1:5"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6"/>
        <v>#N/A</v>
      </c>
      <c r="E109" t="e">
        <f t="shared" ca="1" si="7"/>
        <v>#N/A</v>
      </c>
    </row>
    <row r="110" spans="1:5"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6"/>
        <v>#N/A</v>
      </c>
      <c r="E110" t="e">
        <f t="shared" ca="1" si="7"/>
        <v>#N/A</v>
      </c>
    </row>
    <row r="111" spans="1:5"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6"/>
        <v>#N/A</v>
      </c>
      <c r="E111" t="e">
        <f t="shared" ca="1" si="7"/>
        <v>#N/A</v>
      </c>
    </row>
    <row r="112" spans="1:5"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6"/>
        <v>#N/A</v>
      </c>
      <c r="E112" t="e">
        <f t="shared" ca="1" si="7"/>
        <v>#N/A</v>
      </c>
    </row>
    <row r="113" spans="1:5"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6"/>
        <v>#N/A</v>
      </c>
      <c r="E113" t="e">
        <f t="shared" ca="1" si="7"/>
        <v>#N/A</v>
      </c>
    </row>
    <row r="114" spans="1:5"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6"/>
        <v>#N/A</v>
      </c>
      <c r="E114" t="e">
        <f t="shared" ca="1" si="7"/>
        <v>#N/A</v>
      </c>
    </row>
    <row r="115" spans="1:5"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6"/>
        <v>#N/A</v>
      </c>
      <c r="E115" t="e">
        <f t="shared" ca="1" si="7"/>
        <v>#N/A</v>
      </c>
    </row>
    <row r="116" spans="1:5"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6"/>
        <v>#N/A</v>
      </c>
      <c r="E116" t="e">
        <f t="shared" ca="1" si="7"/>
        <v>#N/A</v>
      </c>
    </row>
    <row r="117" spans="1:5"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6"/>
        <v>#N/A</v>
      </c>
      <c r="E117" t="e">
        <f t="shared" ca="1" si="7"/>
        <v>#N/A</v>
      </c>
    </row>
    <row r="118" spans="1:5"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6"/>
        <v>#N/A</v>
      </c>
      <c r="E118" t="e">
        <f t="shared" ca="1" si="7"/>
        <v>#N/A</v>
      </c>
    </row>
    <row r="119" spans="1:5"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6"/>
        <v>#N/A</v>
      </c>
      <c r="E119" t="e">
        <f t="shared" ca="1" si="7"/>
        <v>#N/A</v>
      </c>
    </row>
    <row r="120" spans="1:5"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6"/>
        <v>#N/A</v>
      </c>
      <c r="E120" t="e">
        <f t="shared" ca="1" si="7"/>
        <v>#N/A</v>
      </c>
    </row>
    <row r="121" spans="1:5"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6"/>
        <v>#N/A</v>
      </c>
      <c r="E121" t="e">
        <f t="shared" ca="1" si="7"/>
        <v>#N/A</v>
      </c>
    </row>
    <row r="122" spans="1:5"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6"/>
        <v>#N/A</v>
      </c>
      <c r="E122" t="e">
        <f t="shared" ca="1" si="7"/>
        <v>#N/A</v>
      </c>
    </row>
    <row r="123" spans="1:5"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6"/>
        <v>#N/A</v>
      </c>
      <c r="E123" t="e">
        <f t="shared" ca="1" si="7"/>
        <v>#N/A</v>
      </c>
    </row>
    <row r="124" spans="1:5"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6"/>
        <v>#N/A</v>
      </c>
      <c r="E124" t="e">
        <f t="shared" ca="1" si="7"/>
        <v>#N/A</v>
      </c>
    </row>
    <row r="125" spans="1:5"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6"/>
        <v>#N/A</v>
      </c>
      <c r="E125" t="e">
        <f t="shared" ca="1" si="7"/>
        <v>#N/A</v>
      </c>
    </row>
    <row r="126" spans="1:5"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6"/>
        <v>#N/A</v>
      </c>
      <c r="E126" t="e">
        <f t="shared" ca="1" si="7"/>
        <v>#N/A</v>
      </c>
    </row>
    <row r="127" spans="1:5"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6"/>
        <v>#N/A</v>
      </c>
      <c r="E127" t="e">
        <f t="shared" ca="1" si="7"/>
        <v>#N/A</v>
      </c>
    </row>
    <row r="128" spans="1:5"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6"/>
        <v>#N/A</v>
      </c>
      <c r="E128" t="e">
        <f t="shared" ca="1" si="7"/>
        <v>#N/A</v>
      </c>
    </row>
    <row r="129" spans="1:5"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6"/>
        <v>#N/A</v>
      </c>
      <c r="E129" t="e">
        <f t="shared" ca="1" si="7"/>
        <v>#N/A</v>
      </c>
    </row>
    <row r="130" spans="1:5"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6"/>
        <v>#N/A</v>
      </c>
      <c r="E130" t="e">
        <f t="shared" ca="1" si="7"/>
        <v>#N/A</v>
      </c>
    </row>
    <row r="131" spans="1:5"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6"/>
        <v>#N/A</v>
      </c>
      <c r="E131" t="e">
        <f t="shared" ca="1" si="7"/>
        <v>#N/A</v>
      </c>
    </row>
    <row r="132" spans="1:5"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6"/>
        <v>#N/A</v>
      </c>
      <c r="E132" t="e">
        <f t="shared" ca="1" si="7"/>
        <v>#N/A</v>
      </c>
    </row>
    <row r="133" spans="1:5"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6"/>
        <v>#N/A</v>
      </c>
      <c r="E133" t="e">
        <f t="shared" ca="1" si="7"/>
        <v>#N/A</v>
      </c>
    </row>
    <row r="134" spans="1:5"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6"/>
        <v>#N/A</v>
      </c>
      <c r="E134" t="e">
        <f t="shared" ca="1" si="7"/>
        <v>#N/A</v>
      </c>
    </row>
    <row r="135" spans="1:5"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6"/>
        <v>#N/A</v>
      </c>
      <c r="E135" t="e">
        <f t="shared" ca="1" si="7"/>
        <v>#N/A</v>
      </c>
    </row>
    <row r="136" spans="1:5"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6"/>
        <v>#N/A</v>
      </c>
      <c r="E136" t="e">
        <f t="shared" ca="1" si="7"/>
        <v>#N/A</v>
      </c>
    </row>
    <row r="137" spans="1:5"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6"/>
        <v>#N/A</v>
      </c>
      <c r="E137" t="e">
        <f t="shared" ca="1" si="7"/>
        <v>#N/A</v>
      </c>
    </row>
    <row r="138" spans="1:5"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6"/>
        <v>#N/A</v>
      </c>
      <c r="E138" t="e">
        <f t="shared" ca="1" si="7"/>
        <v>#N/A</v>
      </c>
    </row>
    <row r="139" spans="1:5"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6"/>
        <v>#N/A</v>
      </c>
      <c r="E139" t="e">
        <f t="shared" ca="1" si="7"/>
        <v>#N/A</v>
      </c>
    </row>
    <row r="140" spans="1:5"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6"/>
        <v>#N/A</v>
      </c>
      <c r="E140" t="e">
        <f t="shared" ca="1" si="7"/>
        <v>#N/A</v>
      </c>
    </row>
    <row r="141" spans="1:5"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6"/>
        <v>#N/A</v>
      </c>
      <c r="E141" t="e">
        <f t="shared" ca="1" si="7"/>
        <v>#N/A</v>
      </c>
    </row>
    <row r="142" spans="1:5"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6"/>
        <v>#N/A</v>
      </c>
      <c r="E142" t="e">
        <f t="shared" ca="1" si="7"/>
        <v>#N/A</v>
      </c>
    </row>
    <row r="143" spans="1:5"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6"/>
        <v>#N/A</v>
      </c>
      <c r="E143" t="e">
        <f t="shared" ca="1" si="7"/>
        <v>#N/A</v>
      </c>
    </row>
    <row r="144" spans="1:5"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6"/>
        <v>#N/A</v>
      </c>
      <c r="E144" t="e">
        <f t="shared" ca="1" si="7"/>
        <v>#N/A</v>
      </c>
    </row>
    <row r="145" spans="1:5"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6"/>
        <v>#N/A</v>
      </c>
      <c r="E145" t="e">
        <f t="shared" ca="1" si="7"/>
        <v>#N/A</v>
      </c>
    </row>
    <row r="146" spans="1:5"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6"/>
        <v>#N/A</v>
      </c>
      <c r="E146" t="e">
        <f t="shared" ca="1" si="7"/>
        <v>#N/A</v>
      </c>
    </row>
    <row r="147" spans="1:5"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6"/>
        <v>#N/A</v>
      </c>
      <c r="E147" t="e">
        <f t="shared" ca="1" si="7"/>
        <v>#N/A</v>
      </c>
    </row>
    <row r="148" spans="1:5"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6"/>
        <v>#N/A</v>
      </c>
      <c r="E148" t="e">
        <f t="shared" ca="1" si="7"/>
        <v>#N/A</v>
      </c>
    </row>
    <row r="149" spans="1:5"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6"/>
        <v>#N/A</v>
      </c>
      <c r="E149" t="e">
        <f t="shared" ca="1" si="7"/>
        <v>#N/A</v>
      </c>
    </row>
    <row r="150" spans="1:5"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6"/>
        <v>#N/A</v>
      </c>
      <c r="E150" t="e">
        <f t="shared" ca="1" si="7"/>
        <v>#N/A</v>
      </c>
    </row>
    <row r="151" spans="1:5"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6"/>
        <v>#N/A</v>
      </c>
      <c r="E151" t="e">
        <f t="shared" ca="1" si="7"/>
        <v>#N/A</v>
      </c>
    </row>
    <row r="152" spans="1:5"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6"/>
        <v>#N/A</v>
      </c>
      <c r="E152" t="e">
        <f t="shared" ca="1" si="7"/>
        <v>#N/A</v>
      </c>
    </row>
    <row r="153" spans="1:5"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6"/>
        <v>#N/A</v>
      </c>
      <c r="E153" t="e">
        <f t="shared" ca="1" si="7"/>
        <v>#N/A</v>
      </c>
    </row>
    <row r="154" spans="1:5"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6"/>
        <v>#N/A</v>
      </c>
      <c r="E154" t="e">
        <f t="shared" ca="1" si="7"/>
        <v>#N/A</v>
      </c>
    </row>
    <row r="155" spans="1:5"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6"/>
        <v>#N/A</v>
      </c>
      <c r="E155" t="e">
        <f t="shared" ca="1" si="7"/>
        <v>#N/A</v>
      </c>
    </row>
    <row r="156" spans="1:5"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6"/>
        <v>#N/A</v>
      </c>
      <c r="E156" t="e">
        <f t="shared" ca="1" si="7"/>
        <v>#N/A</v>
      </c>
    </row>
    <row r="157" spans="1:5"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6"/>
        <v>#N/A</v>
      </c>
      <c r="E157" t="e">
        <f t="shared" ca="1" si="7"/>
        <v>#N/A</v>
      </c>
    </row>
    <row r="158" spans="1:5"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6"/>
        <v>#N/A</v>
      </c>
      <c r="E158" t="e">
        <f t="shared" ca="1" si="7"/>
        <v>#N/A</v>
      </c>
    </row>
    <row r="159" spans="1:5"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6"/>
        <v>#N/A</v>
      </c>
      <c r="E159" t="e">
        <f t="shared" ca="1" si="7"/>
        <v>#N/A</v>
      </c>
    </row>
    <row r="160" spans="1:5"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6"/>
        <v>#N/A</v>
      </c>
      <c r="E160" t="e">
        <f t="shared" ca="1" si="7"/>
        <v>#N/A</v>
      </c>
    </row>
    <row r="161" spans="1:5"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6"/>
        <v>#N/A</v>
      </c>
      <c r="E161" t="e">
        <f t="shared" ca="1" si="7"/>
        <v>#N/A</v>
      </c>
    </row>
    <row r="162" spans="1:5"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6"/>
        <v>#N/A</v>
      </c>
      <c r="E162" t="e">
        <f t="shared" ca="1" si="7"/>
        <v>#N/A</v>
      </c>
    </row>
    <row r="163" spans="1:5"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6"/>
        <v>#N/A</v>
      </c>
      <c r="E163" t="e">
        <f t="shared" ca="1" si="7"/>
        <v>#N/A</v>
      </c>
    </row>
    <row r="164" spans="1:5"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6"/>
        <v>#N/A</v>
      </c>
      <c r="E164" t="e">
        <f t="shared" ca="1" si="7"/>
        <v>#N/A</v>
      </c>
    </row>
    <row r="165" spans="1:5"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6"/>
        <v>#N/A</v>
      </c>
      <c r="E165" t="e">
        <f t="shared" ca="1" si="7"/>
        <v>#N/A</v>
      </c>
    </row>
    <row r="166" spans="1:5"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6"/>
        <v>#N/A</v>
      </c>
      <c r="E166" t="e">
        <f t="shared" ca="1" si="7"/>
        <v>#N/A</v>
      </c>
    </row>
    <row r="167" spans="1:5"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6"/>
        <v>#N/A</v>
      </c>
      <c r="E167" t="e">
        <f t="shared" ca="1" si="7"/>
        <v>#N/A</v>
      </c>
    </row>
    <row r="168" spans="1:5"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6"/>
        <v>#N/A</v>
      </c>
      <c r="E168" t="e">
        <f t="shared" ca="1" si="7"/>
        <v>#N/A</v>
      </c>
    </row>
    <row r="169" spans="1:5"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8">IF(C169="",NA(),IMREAL(C169))</f>
        <v>#N/A</v>
      </c>
      <c r="E169" t="e">
        <f t="shared" ref="E169:E232" ca="1" si="9">IF(C169="",NA(),IMAGINARY(C169))</f>
        <v>#N/A</v>
      </c>
    </row>
    <row r="170" spans="1:5"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8"/>
        <v>#N/A</v>
      </c>
      <c r="E170" t="e">
        <f t="shared" ca="1" si="9"/>
        <v>#N/A</v>
      </c>
    </row>
    <row r="171" spans="1:5"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8"/>
        <v>#N/A</v>
      </c>
      <c r="E171" t="e">
        <f t="shared" ca="1" si="9"/>
        <v>#N/A</v>
      </c>
    </row>
    <row r="172" spans="1:5"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8"/>
        <v>#N/A</v>
      </c>
      <c r="E172" t="e">
        <f t="shared" ca="1" si="9"/>
        <v>#N/A</v>
      </c>
    </row>
    <row r="173" spans="1:5"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8"/>
        <v>#N/A</v>
      </c>
      <c r="E173" t="e">
        <f t="shared" ca="1" si="9"/>
        <v>#N/A</v>
      </c>
    </row>
    <row r="174" spans="1:5"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8"/>
        <v>#N/A</v>
      </c>
      <c r="E174" t="e">
        <f t="shared" ca="1" si="9"/>
        <v>#N/A</v>
      </c>
    </row>
    <row r="175" spans="1:5"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8"/>
        <v>#N/A</v>
      </c>
      <c r="E175" t="e">
        <f t="shared" ca="1" si="9"/>
        <v>#N/A</v>
      </c>
    </row>
    <row r="176" spans="1:5"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8"/>
        <v>#N/A</v>
      </c>
      <c r="E176" t="e">
        <f t="shared" ca="1" si="9"/>
        <v>#N/A</v>
      </c>
    </row>
    <row r="177" spans="1:5"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8"/>
        <v>#N/A</v>
      </c>
      <c r="E177" t="e">
        <f t="shared" ca="1" si="9"/>
        <v>#N/A</v>
      </c>
    </row>
    <row r="178" spans="1:5"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8"/>
        <v>#N/A</v>
      </c>
      <c r="E178" t="e">
        <f t="shared" ca="1" si="9"/>
        <v>#N/A</v>
      </c>
    </row>
    <row r="179" spans="1:5"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8"/>
        <v>#N/A</v>
      </c>
      <c r="E179" t="e">
        <f t="shared" ca="1" si="9"/>
        <v>#N/A</v>
      </c>
    </row>
    <row r="180" spans="1:5"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8"/>
        <v>#N/A</v>
      </c>
      <c r="E180" t="e">
        <f t="shared" ca="1" si="9"/>
        <v>#N/A</v>
      </c>
    </row>
    <row r="181" spans="1:5"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8"/>
        <v>#N/A</v>
      </c>
      <c r="E181" t="e">
        <f t="shared" ca="1" si="9"/>
        <v>#N/A</v>
      </c>
    </row>
    <row r="182" spans="1:5"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8"/>
        <v>#N/A</v>
      </c>
      <c r="E182" t="e">
        <f t="shared" ca="1" si="9"/>
        <v>#N/A</v>
      </c>
    </row>
    <row r="183" spans="1:5"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8"/>
        <v>#N/A</v>
      </c>
      <c r="E183" t="e">
        <f t="shared" ca="1" si="9"/>
        <v>#N/A</v>
      </c>
    </row>
    <row r="184" spans="1:5"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8"/>
        <v>#N/A</v>
      </c>
      <c r="E184" t="e">
        <f t="shared" ca="1" si="9"/>
        <v>#N/A</v>
      </c>
    </row>
    <row r="185" spans="1:5"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8"/>
        <v>#N/A</v>
      </c>
      <c r="E185" t="e">
        <f t="shared" ca="1" si="9"/>
        <v>#N/A</v>
      </c>
    </row>
    <row r="186" spans="1:5"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8"/>
        <v>#N/A</v>
      </c>
      <c r="E186" t="e">
        <f t="shared" ca="1" si="9"/>
        <v>#N/A</v>
      </c>
    </row>
    <row r="187" spans="1:5"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8"/>
        <v>#N/A</v>
      </c>
      <c r="E187" t="e">
        <f t="shared" ca="1" si="9"/>
        <v>#N/A</v>
      </c>
    </row>
    <row r="188" spans="1:5"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8"/>
        <v>#N/A</v>
      </c>
      <c r="E188" t="e">
        <f t="shared" ca="1" si="9"/>
        <v>#N/A</v>
      </c>
    </row>
    <row r="189" spans="1:5"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8"/>
        <v>#N/A</v>
      </c>
      <c r="E189" t="e">
        <f t="shared" ca="1" si="9"/>
        <v>#N/A</v>
      </c>
    </row>
    <row r="190" spans="1:5"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8"/>
        <v>#N/A</v>
      </c>
      <c r="E190" t="e">
        <f t="shared" ca="1" si="9"/>
        <v>#N/A</v>
      </c>
    </row>
    <row r="191" spans="1:5"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8"/>
        <v>#N/A</v>
      </c>
      <c r="E191" t="e">
        <f t="shared" ca="1" si="9"/>
        <v>#N/A</v>
      </c>
    </row>
    <row r="192" spans="1:5"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8"/>
        <v>#N/A</v>
      </c>
      <c r="E192" t="e">
        <f t="shared" ca="1" si="9"/>
        <v>#N/A</v>
      </c>
    </row>
    <row r="193" spans="1:5"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8"/>
        <v>#N/A</v>
      </c>
      <c r="E193" t="e">
        <f t="shared" ca="1" si="9"/>
        <v>#N/A</v>
      </c>
    </row>
    <row r="194" spans="1:5"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8"/>
        <v>#N/A</v>
      </c>
      <c r="E194" t="e">
        <f t="shared" ca="1" si="9"/>
        <v>#N/A</v>
      </c>
    </row>
    <row r="195" spans="1:5"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8"/>
        <v>#N/A</v>
      </c>
      <c r="E195" t="e">
        <f t="shared" ca="1" si="9"/>
        <v>#N/A</v>
      </c>
    </row>
    <row r="196" spans="1:5"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8"/>
        <v>#N/A</v>
      </c>
      <c r="E196" t="e">
        <f t="shared" ca="1" si="9"/>
        <v>#N/A</v>
      </c>
    </row>
    <row r="197" spans="1:5"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8"/>
        <v>#N/A</v>
      </c>
      <c r="E197" t="e">
        <f t="shared" ca="1" si="9"/>
        <v>#N/A</v>
      </c>
    </row>
    <row r="198" spans="1:5"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8"/>
        <v>#N/A</v>
      </c>
      <c r="E198" t="e">
        <f t="shared" ca="1" si="9"/>
        <v>#N/A</v>
      </c>
    </row>
    <row r="199" spans="1:5"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8"/>
        <v>#N/A</v>
      </c>
      <c r="E199" t="e">
        <f t="shared" ca="1" si="9"/>
        <v>#N/A</v>
      </c>
    </row>
    <row r="200" spans="1:5"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8"/>
        <v>#N/A</v>
      </c>
      <c r="E200" t="e">
        <f t="shared" ca="1" si="9"/>
        <v>#N/A</v>
      </c>
    </row>
    <row r="201" spans="1:5"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8"/>
        <v>#N/A</v>
      </c>
      <c r="E201" t="e">
        <f t="shared" ca="1" si="9"/>
        <v>#N/A</v>
      </c>
    </row>
    <row r="202" spans="1:5"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8"/>
        <v>#N/A</v>
      </c>
      <c r="E202" t="e">
        <f t="shared" ca="1" si="9"/>
        <v>#N/A</v>
      </c>
    </row>
    <row r="203" spans="1:5"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8"/>
        <v>#N/A</v>
      </c>
      <c r="E203" t="e">
        <f t="shared" ca="1" si="9"/>
        <v>#N/A</v>
      </c>
    </row>
    <row r="204" spans="1:5"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8"/>
        <v>#N/A</v>
      </c>
      <c r="E204" t="e">
        <f t="shared" ca="1" si="9"/>
        <v>#N/A</v>
      </c>
    </row>
    <row r="205" spans="1:5"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8"/>
        <v>#N/A</v>
      </c>
      <c r="E205" t="e">
        <f t="shared" ca="1" si="9"/>
        <v>#N/A</v>
      </c>
    </row>
    <row r="206" spans="1:5"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8"/>
        <v>#N/A</v>
      </c>
      <c r="E206" t="e">
        <f t="shared" ca="1" si="9"/>
        <v>#N/A</v>
      </c>
    </row>
    <row r="207" spans="1:5"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8"/>
        <v>#N/A</v>
      </c>
      <c r="E207" t="e">
        <f t="shared" ca="1" si="9"/>
        <v>#N/A</v>
      </c>
    </row>
    <row r="208" spans="1:5"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8"/>
        <v>#N/A</v>
      </c>
      <c r="E208" t="e">
        <f t="shared" ca="1" si="9"/>
        <v>#N/A</v>
      </c>
    </row>
    <row r="209" spans="1:5"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8"/>
        <v>#N/A</v>
      </c>
      <c r="E209" t="e">
        <f t="shared" ca="1" si="9"/>
        <v>#N/A</v>
      </c>
    </row>
    <row r="210" spans="1:5"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8"/>
        <v>#N/A</v>
      </c>
      <c r="E210" t="e">
        <f t="shared" ca="1" si="9"/>
        <v>#N/A</v>
      </c>
    </row>
    <row r="211" spans="1:5"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8"/>
        <v>#N/A</v>
      </c>
      <c r="E211" t="e">
        <f t="shared" ca="1" si="9"/>
        <v>#N/A</v>
      </c>
    </row>
    <row r="212" spans="1:5"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8"/>
        <v>#N/A</v>
      </c>
      <c r="E212" t="e">
        <f t="shared" ca="1" si="9"/>
        <v>#N/A</v>
      </c>
    </row>
    <row r="213" spans="1:5"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8"/>
        <v>#N/A</v>
      </c>
      <c r="E213" t="e">
        <f t="shared" ca="1" si="9"/>
        <v>#N/A</v>
      </c>
    </row>
    <row r="214" spans="1:5"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8"/>
        <v>#N/A</v>
      </c>
      <c r="E214" t="e">
        <f t="shared" ca="1" si="9"/>
        <v>#N/A</v>
      </c>
    </row>
    <row r="215" spans="1:5"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8"/>
        <v>#N/A</v>
      </c>
      <c r="E215" t="e">
        <f t="shared" ca="1" si="9"/>
        <v>#N/A</v>
      </c>
    </row>
    <row r="216" spans="1:5"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8"/>
        <v>#N/A</v>
      </c>
      <c r="E216" t="e">
        <f t="shared" ca="1" si="9"/>
        <v>#N/A</v>
      </c>
    </row>
    <row r="217" spans="1:5"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8"/>
        <v>#N/A</v>
      </c>
      <c r="E217" t="e">
        <f t="shared" ca="1" si="9"/>
        <v>#N/A</v>
      </c>
    </row>
    <row r="218" spans="1:5"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8"/>
        <v>#N/A</v>
      </c>
      <c r="E218" t="e">
        <f t="shared" ca="1" si="9"/>
        <v>#N/A</v>
      </c>
    </row>
    <row r="219" spans="1:5"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8"/>
        <v>#N/A</v>
      </c>
      <c r="E219" t="e">
        <f t="shared" ca="1" si="9"/>
        <v>#N/A</v>
      </c>
    </row>
    <row r="220" spans="1:5"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8"/>
        <v>#N/A</v>
      </c>
      <c r="E220" t="e">
        <f t="shared" ca="1" si="9"/>
        <v>#N/A</v>
      </c>
    </row>
    <row r="221" spans="1:5"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8"/>
        <v>#N/A</v>
      </c>
      <c r="E221" t="e">
        <f t="shared" ca="1" si="9"/>
        <v>#N/A</v>
      </c>
    </row>
    <row r="222" spans="1:5"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8"/>
        <v>#N/A</v>
      </c>
      <c r="E222" t="e">
        <f t="shared" ca="1" si="9"/>
        <v>#N/A</v>
      </c>
    </row>
    <row r="223" spans="1:5"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8"/>
        <v>#N/A</v>
      </c>
      <c r="E223" t="e">
        <f t="shared" ca="1" si="9"/>
        <v>#N/A</v>
      </c>
    </row>
    <row r="224" spans="1:5"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8"/>
        <v>#N/A</v>
      </c>
      <c r="E224" t="e">
        <f t="shared" ca="1" si="9"/>
        <v>#N/A</v>
      </c>
    </row>
    <row r="225" spans="1:5"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8"/>
        <v>#N/A</v>
      </c>
      <c r="E225" t="e">
        <f t="shared" ca="1" si="9"/>
        <v>#N/A</v>
      </c>
    </row>
    <row r="226" spans="1:5"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8"/>
        <v>#N/A</v>
      </c>
      <c r="E226" t="e">
        <f t="shared" ca="1" si="9"/>
        <v>#N/A</v>
      </c>
    </row>
    <row r="227" spans="1:5"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8"/>
        <v>#N/A</v>
      </c>
      <c r="E227" t="e">
        <f t="shared" ca="1" si="9"/>
        <v>#N/A</v>
      </c>
    </row>
    <row r="228" spans="1:5"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8"/>
        <v>#N/A</v>
      </c>
      <c r="E228" t="e">
        <f t="shared" ca="1" si="9"/>
        <v>#N/A</v>
      </c>
    </row>
    <row r="229" spans="1:5"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8"/>
        <v>#N/A</v>
      </c>
      <c r="E229" t="e">
        <f t="shared" ca="1" si="9"/>
        <v>#N/A</v>
      </c>
    </row>
    <row r="230" spans="1:5"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8"/>
        <v>#N/A</v>
      </c>
      <c r="E230" t="e">
        <f t="shared" ca="1" si="9"/>
        <v>#N/A</v>
      </c>
    </row>
    <row r="231" spans="1:5"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8"/>
        <v>#N/A</v>
      </c>
      <c r="E231" t="e">
        <f t="shared" ca="1" si="9"/>
        <v>#N/A</v>
      </c>
    </row>
    <row r="232" spans="1:5"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8"/>
        <v>#N/A</v>
      </c>
      <c r="E232" t="e">
        <f t="shared" ca="1" si="9"/>
        <v>#N/A</v>
      </c>
    </row>
    <row r="233" spans="1:5"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10">IF(C233="",NA(),IMREAL(C233))</f>
        <v>#N/A</v>
      </c>
      <c r="E233" t="e">
        <f t="shared" ref="E233:E296" ca="1" si="11">IF(C233="",NA(),IMAGINARY(C233))</f>
        <v>#N/A</v>
      </c>
    </row>
    <row r="234" spans="1:5"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10"/>
        <v>#N/A</v>
      </c>
      <c r="E234" t="e">
        <f t="shared" ca="1" si="11"/>
        <v>#N/A</v>
      </c>
    </row>
    <row r="235" spans="1:5"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10"/>
        <v>#N/A</v>
      </c>
      <c r="E235" t="e">
        <f t="shared" ca="1" si="11"/>
        <v>#N/A</v>
      </c>
    </row>
    <row r="236" spans="1:5"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10"/>
        <v>#N/A</v>
      </c>
      <c r="E236" t="e">
        <f t="shared" ca="1" si="11"/>
        <v>#N/A</v>
      </c>
    </row>
    <row r="237" spans="1:5"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10"/>
        <v>#N/A</v>
      </c>
      <c r="E237" t="e">
        <f t="shared" ca="1" si="11"/>
        <v>#N/A</v>
      </c>
    </row>
    <row r="238" spans="1:5"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10"/>
        <v>#N/A</v>
      </c>
      <c r="E238" t="e">
        <f t="shared" ca="1" si="11"/>
        <v>#N/A</v>
      </c>
    </row>
    <row r="239" spans="1:5"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10"/>
        <v>#N/A</v>
      </c>
      <c r="E239" t="e">
        <f t="shared" ca="1" si="11"/>
        <v>#N/A</v>
      </c>
    </row>
    <row r="240" spans="1:5"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10"/>
        <v>#N/A</v>
      </c>
      <c r="E240" t="e">
        <f t="shared" ca="1" si="11"/>
        <v>#N/A</v>
      </c>
    </row>
    <row r="241" spans="1:5"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10"/>
        <v>#N/A</v>
      </c>
      <c r="E241" t="e">
        <f t="shared" ca="1" si="11"/>
        <v>#N/A</v>
      </c>
    </row>
    <row r="242" spans="1:5"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10"/>
        <v>#N/A</v>
      </c>
      <c r="E242" t="e">
        <f t="shared" ca="1" si="11"/>
        <v>#N/A</v>
      </c>
    </row>
    <row r="243" spans="1:5"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10"/>
        <v>#N/A</v>
      </c>
      <c r="E243" t="e">
        <f t="shared" ca="1" si="11"/>
        <v>#N/A</v>
      </c>
    </row>
    <row r="244" spans="1:5"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10"/>
        <v>#N/A</v>
      </c>
      <c r="E244" t="e">
        <f t="shared" ca="1" si="11"/>
        <v>#N/A</v>
      </c>
    </row>
    <row r="245" spans="1:5"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10"/>
        <v>#N/A</v>
      </c>
      <c r="E245" t="e">
        <f t="shared" ca="1" si="11"/>
        <v>#N/A</v>
      </c>
    </row>
    <row r="246" spans="1:5"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10"/>
        <v>#N/A</v>
      </c>
      <c r="E246" t="e">
        <f t="shared" ca="1" si="11"/>
        <v>#N/A</v>
      </c>
    </row>
    <row r="247" spans="1:5"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10"/>
        <v>#N/A</v>
      </c>
      <c r="E247" t="e">
        <f t="shared" ca="1" si="11"/>
        <v>#N/A</v>
      </c>
    </row>
    <row r="248" spans="1:5"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10"/>
        <v>#N/A</v>
      </c>
      <c r="E248" t="e">
        <f t="shared" ca="1" si="11"/>
        <v>#N/A</v>
      </c>
    </row>
    <row r="249" spans="1:5"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10"/>
        <v>#N/A</v>
      </c>
      <c r="E249" t="e">
        <f t="shared" ca="1" si="11"/>
        <v>#N/A</v>
      </c>
    </row>
    <row r="250" spans="1:5"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10"/>
        <v>#N/A</v>
      </c>
      <c r="E250" t="e">
        <f t="shared" ca="1" si="11"/>
        <v>#N/A</v>
      </c>
    </row>
    <row r="251" spans="1:5"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10"/>
        <v>#N/A</v>
      </c>
      <c r="E251" t="e">
        <f t="shared" ca="1" si="11"/>
        <v>#N/A</v>
      </c>
    </row>
    <row r="252" spans="1:5"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10"/>
        <v>#N/A</v>
      </c>
      <c r="E252" t="e">
        <f t="shared" ca="1" si="11"/>
        <v>#N/A</v>
      </c>
    </row>
    <row r="253" spans="1:5"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10"/>
        <v>#N/A</v>
      </c>
      <c r="E253" t="e">
        <f t="shared" ca="1" si="11"/>
        <v>#N/A</v>
      </c>
    </row>
    <row r="254" spans="1:5"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10"/>
        <v>#N/A</v>
      </c>
      <c r="E254" t="e">
        <f t="shared" ca="1" si="11"/>
        <v>#N/A</v>
      </c>
    </row>
    <row r="255" spans="1:5"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10"/>
        <v>#N/A</v>
      </c>
      <c r="E255" t="e">
        <f t="shared" ca="1" si="11"/>
        <v>#N/A</v>
      </c>
    </row>
    <row r="256" spans="1:5"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10"/>
        <v>#N/A</v>
      </c>
      <c r="E256" t="e">
        <f t="shared" ca="1" si="11"/>
        <v>#N/A</v>
      </c>
    </row>
    <row r="257" spans="1:5"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10"/>
        <v>#N/A</v>
      </c>
      <c r="E257" t="e">
        <f t="shared" ca="1" si="11"/>
        <v>#N/A</v>
      </c>
    </row>
    <row r="258" spans="1:5"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10"/>
        <v>#N/A</v>
      </c>
      <c r="E258" t="e">
        <f t="shared" ca="1" si="11"/>
        <v>#N/A</v>
      </c>
    </row>
    <row r="259" spans="1:5"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10"/>
        <v>#N/A</v>
      </c>
      <c r="E259" t="e">
        <f t="shared" ca="1" si="11"/>
        <v>#N/A</v>
      </c>
    </row>
    <row r="260" spans="1:5"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10"/>
        <v>#N/A</v>
      </c>
      <c r="E260" t="e">
        <f t="shared" ca="1" si="11"/>
        <v>#N/A</v>
      </c>
    </row>
    <row r="261" spans="1:5"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10"/>
        <v>#N/A</v>
      </c>
      <c r="E261" t="e">
        <f t="shared" ca="1" si="11"/>
        <v>#N/A</v>
      </c>
    </row>
    <row r="262" spans="1:5"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10"/>
        <v>#N/A</v>
      </c>
      <c r="E262" t="e">
        <f t="shared" ca="1" si="11"/>
        <v>#N/A</v>
      </c>
    </row>
    <row r="263" spans="1:5"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10"/>
        <v>#N/A</v>
      </c>
      <c r="E263" t="e">
        <f t="shared" ca="1" si="11"/>
        <v>#N/A</v>
      </c>
    </row>
    <row r="264" spans="1:5"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10"/>
        <v>#N/A</v>
      </c>
      <c r="E264" t="e">
        <f t="shared" ca="1" si="11"/>
        <v>#N/A</v>
      </c>
    </row>
    <row r="265" spans="1:5"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10"/>
        <v>#N/A</v>
      </c>
      <c r="E265" t="e">
        <f t="shared" ca="1" si="11"/>
        <v>#N/A</v>
      </c>
    </row>
    <row r="266" spans="1:5"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10"/>
        <v>#N/A</v>
      </c>
      <c r="E266" t="e">
        <f t="shared" ca="1" si="11"/>
        <v>#N/A</v>
      </c>
    </row>
    <row r="267" spans="1:5"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10"/>
        <v>#N/A</v>
      </c>
      <c r="E267" t="e">
        <f t="shared" ca="1" si="11"/>
        <v>#N/A</v>
      </c>
    </row>
    <row r="268" spans="1:5"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10"/>
        <v>#N/A</v>
      </c>
      <c r="E268" t="e">
        <f t="shared" ca="1" si="11"/>
        <v>#N/A</v>
      </c>
    </row>
    <row r="269" spans="1:5"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10"/>
        <v>#N/A</v>
      </c>
      <c r="E269" t="e">
        <f t="shared" ca="1" si="11"/>
        <v>#N/A</v>
      </c>
    </row>
    <row r="270" spans="1:5"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10"/>
        <v>#N/A</v>
      </c>
      <c r="E270" t="e">
        <f t="shared" ca="1" si="11"/>
        <v>#N/A</v>
      </c>
    </row>
    <row r="271" spans="1:5"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10"/>
        <v>#N/A</v>
      </c>
      <c r="E271" t="e">
        <f t="shared" ca="1" si="11"/>
        <v>#N/A</v>
      </c>
    </row>
    <row r="272" spans="1:5"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10"/>
        <v>#N/A</v>
      </c>
      <c r="E272" t="e">
        <f t="shared" ca="1" si="11"/>
        <v>#N/A</v>
      </c>
    </row>
    <row r="273" spans="1:5"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10"/>
        <v>#N/A</v>
      </c>
      <c r="E273" t="e">
        <f t="shared" ca="1" si="11"/>
        <v>#N/A</v>
      </c>
    </row>
    <row r="274" spans="1:5"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10"/>
        <v>#N/A</v>
      </c>
      <c r="E274" t="e">
        <f t="shared" ca="1" si="11"/>
        <v>#N/A</v>
      </c>
    </row>
    <row r="275" spans="1:5"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10"/>
        <v>#N/A</v>
      </c>
      <c r="E275" t="e">
        <f t="shared" ca="1" si="11"/>
        <v>#N/A</v>
      </c>
    </row>
    <row r="276" spans="1:5"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10"/>
        <v>#N/A</v>
      </c>
      <c r="E276" t="e">
        <f t="shared" ca="1" si="11"/>
        <v>#N/A</v>
      </c>
    </row>
    <row r="277" spans="1:5"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10"/>
        <v>#N/A</v>
      </c>
      <c r="E277" t="e">
        <f t="shared" ca="1" si="11"/>
        <v>#N/A</v>
      </c>
    </row>
    <row r="278" spans="1:5"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10"/>
        <v>#N/A</v>
      </c>
      <c r="E278" t="e">
        <f t="shared" ca="1" si="11"/>
        <v>#N/A</v>
      </c>
    </row>
    <row r="279" spans="1:5"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10"/>
        <v>#N/A</v>
      </c>
      <c r="E279" t="e">
        <f t="shared" ca="1" si="11"/>
        <v>#N/A</v>
      </c>
    </row>
    <row r="280" spans="1:5"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10"/>
        <v>#N/A</v>
      </c>
      <c r="E280" t="e">
        <f t="shared" ca="1" si="11"/>
        <v>#N/A</v>
      </c>
    </row>
    <row r="281" spans="1:5"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10"/>
        <v>#N/A</v>
      </c>
      <c r="E281" t="e">
        <f t="shared" ca="1" si="11"/>
        <v>#N/A</v>
      </c>
    </row>
    <row r="282" spans="1:5"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10"/>
        <v>#N/A</v>
      </c>
      <c r="E282" t="e">
        <f t="shared" ca="1" si="11"/>
        <v>#N/A</v>
      </c>
    </row>
    <row r="283" spans="1:5"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10"/>
        <v>#N/A</v>
      </c>
      <c r="E283" t="e">
        <f t="shared" ca="1" si="11"/>
        <v>#N/A</v>
      </c>
    </row>
    <row r="284" spans="1:5"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10"/>
        <v>#N/A</v>
      </c>
      <c r="E284" t="e">
        <f t="shared" ca="1" si="11"/>
        <v>#N/A</v>
      </c>
    </row>
    <row r="285" spans="1:5"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10"/>
        <v>#N/A</v>
      </c>
      <c r="E285" t="e">
        <f t="shared" ca="1" si="11"/>
        <v>#N/A</v>
      </c>
    </row>
    <row r="286" spans="1:5"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10"/>
        <v>#N/A</v>
      </c>
      <c r="E286" t="e">
        <f t="shared" ca="1" si="11"/>
        <v>#N/A</v>
      </c>
    </row>
    <row r="287" spans="1:5"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10"/>
        <v>#N/A</v>
      </c>
      <c r="E287" t="e">
        <f t="shared" ca="1" si="11"/>
        <v>#N/A</v>
      </c>
    </row>
    <row r="288" spans="1:5"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10"/>
        <v>#N/A</v>
      </c>
      <c r="E288" t="e">
        <f t="shared" ca="1" si="11"/>
        <v>#N/A</v>
      </c>
    </row>
    <row r="289" spans="1:5"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10"/>
        <v>#N/A</v>
      </c>
      <c r="E289" t="e">
        <f t="shared" ca="1" si="11"/>
        <v>#N/A</v>
      </c>
    </row>
    <row r="290" spans="1:5"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10"/>
        <v>#N/A</v>
      </c>
      <c r="E290" t="e">
        <f t="shared" ca="1" si="11"/>
        <v>#N/A</v>
      </c>
    </row>
    <row r="291" spans="1:5"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10"/>
        <v>#N/A</v>
      </c>
      <c r="E291" t="e">
        <f t="shared" ca="1" si="11"/>
        <v>#N/A</v>
      </c>
    </row>
    <row r="292" spans="1:5"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10"/>
        <v>#N/A</v>
      </c>
      <c r="E292" t="e">
        <f t="shared" ca="1" si="11"/>
        <v>#N/A</v>
      </c>
    </row>
    <row r="293" spans="1:5"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10"/>
        <v>#N/A</v>
      </c>
      <c r="E293" t="e">
        <f t="shared" ca="1" si="11"/>
        <v>#N/A</v>
      </c>
    </row>
    <row r="294" spans="1:5"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10"/>
        <v>#N/A</v>
      </c>
      <c r="E294" t="e">
        <f t="shared" ca="1" si="11"/>
        <v>#N/A</v>
      </c>
    </row>
    <row r="295" spans="1:5"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10"/>
        <v>#N/A</v>
      </c>
      <c r="E295" t="e">
        <f t="shared" ca="1" si="11"/>
        <v>#N/A</v>
      </c>
    </row>
    <row r="296" spans="1:5"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10"/>
        <v>#N/A</v>
      </c>
      <c r="E296" t="e">
        <f t="shared" ca="1" si="11"/>
        <v>#N/A</v>
      </c>
    </row>
    <row r="297" spans="1:5"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12">IF(C297="",NA(),IMREAL(C297))</f>
        <v>#N/A</v>
      </c>
      <c r="E297" t="e">
        <f t="shared" ref="E297:E360" ca="1" si="13">IF(C297="",NA(),IMAGINARY(C297))</f>
        <v>#N/A</v>
      </c>
    </row>
    <row r="298" spans="1:5"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12"/>
        <v>#N/A</v>
      </c>
      <c r="E298" t="e">
        <f t="shared" ca="1" si="13"/>
        <v>#N/A</v>
      </c>
    </row>
    <row r="299" spans="1:5"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12"/>
        <v>#N/A</v>
      </c>
      <c r="E299" t="e">
        <f t="shared" ca="1" si="13"/>
        <v>#N/A</v>
      </c>
    </row>
    <row r="300" spans="1:5"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12"/>
        <v>#N/A</v>
      </c>
      <c r="E300" t="e">
        <f t="shared" ca="1" si="13"/>
        <v>#N/A</v>
      </c>
    </row>
    <row r="301" spans="1:5"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12"/>
        <v>#N/A</v>
      </c>
      <c r="E301" t="e">
        <f t="shared" ca="1" si="13"/>
        <v>#N/A</v>
      </c>
    </row>
    <row r="302" spans="1:5"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12"/>
        <v>#N/A</v>
      </c>
      <c r="E302" t="e">
        <f t="shared" ca="1" si="13"/>
        <v>#N/A</v>
      </c>
    </row>
    <row r="303" spans="1:5"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12"/>
        <v>#N/A</v>
      </c>
      <c r="E303" t="e">
        <f t="shared" ca="1" si="13"/>
        <v>#N/A</v>
      </c>
    </row>
    <row r="304" spans="1:5"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12"/>
        <v>#N/A</v>
      </c>
      <c r="E304" t="e">
        <f t="shared" ca="1" si="13"/>
        <v>#N/A</v>
      </c>
    </row>
    <row r="305" spans="1:5"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12"/>
        <v>#N/A</v>
      </c>
      <c r="E305" t="e">
        <f t="shared" ca="1" si="13"/>
        <v>#N/A</v>
      </c>
    </row>
    <row r="306" spans="1:5"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12"/>
        <v>#N/A</v>
      </c>
      <c r="E306" t="e">
        <f t="shared" ca="1" si="13"/>
        <v>#N/A</v>
      </c>
    </row>
    <row r="307" spans="1:5"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12"/>
        <v>#N/A</v>
      </c>
      <c r="E307" t="e">
        <f t="shared" ca="1" si="13"/>
        <v>#N/A</v>
      </c>
    </row>
    <row r="308" spans="1:5"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12"/>
        <v>#N/A</v>
      </c>
      <c r="E308" t="e">
        <f t="shared" ca="1" si="13"/>
        <v>#N/A</v>
      </c>
    </row>
    <row r="309" spans="1:5"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12"/>
        <v>#N/A</v>
      </c>
      <c r="E309" t="e">
        <f t="shared" ca="1" si="13"/>
        <v>#N/A</v>
      </c>
    </row>
    <row r="310" spans="1:5"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12"/>
        <v>#N/A</v>
      </c>
      <c r="E310" t="e">
        <f t="shared" ca="1" si="13"/>
        <v>#N/A</v>
      </c>
    </row>
    <row r="311" spans="1:5"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12"/>
        <v>#N/A</v>
      </c>
      <c r="E311" t="e">
        <f t="shared" ca="1" si="13"/>
        <v>#N/A</v>
      </c>
    </row>
    <row r="312" spans="1:5"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12"/>
        <v>#N/A</v>
      </c>
      <c r="E312" t="e">
        <f t="shared" ca="1" si="13"/>
        <v>#N/A</v>
      </c>
    </row>
    <row r="313" spans="1:5"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12"/>
        <v>#N/A</v>
      </c>
      <c r="E313" t="e">
        <f t="shared" ca="1" si="13"/>
        <v>#N/A</v>
      </c>
    </row>
    <row r="314" spans="1:5"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12"/>
        <v>#N/A</v>
      </c>
      <c r="E314" t="e">
        <f t="shared" ca="1" si="13"/>
        <v>#N/A</v>
      </c>
    </row>
    <row r="315" spans="1:5"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12"/>
        <v>#N/A</v>
      </c>
      <c r="E315" t="e">
        <f t="shared" ca="1" si="13"/>
        <v>#N/A</v>
      </c>
    </row>
    <row r="316" spans="1:5"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12"/>
        <v>#N/A</v>
      </c>
      <c r="E316" t="e">
        <f t="shared" ca="1" si="13"/>
        <v>#N/A</v>
      </c>
    </row>
    <row r="317" spans="1:5"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12"/>
        <v>#N/A</v>
      </c>
      <c r="E317" t="e">
        <f t="shared" ca="1" si="13"/>
        <v>#N/A</v>
      </c>
    </row>
    <row r="318" spans="1:5"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12"/>
        <v>#N/A</v>
      </c>
      <c r="E318" t="e">
        <f t="shared" ca="1" si="13"/>
        <v>#N/A</v>
      </c>
    </row>
    <row r="319" spans="1:5"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12"/>
        <v>#N/A</v>
      </c>
      <c r="E319" t="e">
        <f t="shared" ca="1" si="13"/>
        <v>#N/A</v>
      </c>
    </row>
    <row r="320" spans="1:5"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12"/>
        <v>#N/A</v>
      </c>
      <c r="E320" t="e">
        <f t="shared" ca="1" si="13"/>
        <v>#N/A</v>
      </c>
    </row>
    <row r="321" spans="1:5"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12"/>
        <v>#N/A</v>
      </c>
      <c r="E321" t="e">
        <f t="shared" ca="1" si="13"/>
        <v>#N/A</v>
      </c>
    </row>
    <row r="322" spans="1:5"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12"/>
        <v>#N/A</v>
      </c>
      <c r="E322" t="e">
        <f t="shared" ca="1" si="13"/>
        <v>#N/A</v>
      </c>
    </row>
    <row r="323" spans="1:5"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12"/>
        <v>#N/A</v>
      </c>
      <c r="E323" t="e">
        <f t="shared" ca="1" si="13"/>
        <v>#N/A</v>
      </c>
    </row>
    <row r="324" spans="1:5"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12"/>
        <v>#N/A</v>
      </c>
      <c r="E324" t="e">
        <f t="shared" ca="1" si="13"/>
        <v>#N/A</v>
      </c>
    </row>
    <row r="325" spans="1:5"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12"/>
        <v>#N/A</v>
      </c>
      <c r="E325" t="e">
        <f t="shared" ca="1" si="13"/>
        <v>#N/A</v>
      </c>
    </row>
    <row r="326" spans="1:5"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12"/>
        <v>#N/A</v>
      </c>
      <c r="E326" t="e">
        <f t="shared" ca="1" si="13"/>
        <v>#N/A</v>
      </c>
    </row>
    <row r="327" spans="1:5"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12"/>
        <v>#N/A</v>
      </c>
      <c r="E327" t="e">
        <f t="shared" ca="1" si="13"/>
        <v>#N/A</v>
      </c>
    </row>
    <row r="328" spans="1:5"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12"/>
        <v>#N/A</v>
      </c>
      <c r="E328" t="e">
        <f t="shared" ca="1" si="13"/>
        <v>#N/A</v>
      </c>
    </row>
    <row r="329" spans="1:5"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12"/>
        <v>#N/A</v>
      </c>
      <c r="E329" t="e">
        <f t="shared" ca="1" si="13"/>
        <v>#N/A</v>
      </c>
    </row>
    <row r="330" spans="1:5"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12"/>
        <v>#N/A</v>
      </c>
      <c r="E330" t="e">
        <f t="shared" ca="1" si="13"/>
        <v>#N/A</v>
      </c>
    </row>
    <row r="331" spans="1:5"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12"/>
        <v>#N/A</v>
      </c>
      <c r="E331" t="e">
        <f t="shared" ca="1" si="13"/>
        <v>#N/A</v>
      </c>
    </row>
    <row r="332" spans="1:5"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12"/>
        <v>#N/A</v>
      </c>
      <c r="E332" t="e">
        <f t="shared" ca="1" si="13"/>
        <v>#N/A</v>
      </c>
    </row>
    <row r="333" spans="1:5"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12"/>
        <v>#N/A</v>
      </c>
      <c r="E333" t="e">
        <f t="shared" ca="1" si="13"/>
        <v>#N/A</v>
      </c>
    </row>
    <row r="334" spans="1:5"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12"/>
        <v>#N/A</v>
      </c>
      <c r="E334" t="e">
        <f t="shared" ca="1" si="13"/>
        <v>#N/A</v>
      </c>
    </row>
    <row r="335" spans="1:5"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12"/>
        <v>#N/A</v>
      </c>
      <c r="E335" t="e">
        <f t="shared" ca="1" si="13"/>
        <v>#N/A</v>
      </c>
    </row>
    <row r="336" spans="1:5"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12"/>
        <v>#N/A</v>
      </c>
      <c r="E336" t="e">
        <f t="shared" ca="1" si="13"/>
        <v>#N/A</v>
      </c>
    </row>
    <row r="337" spans="1:5"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12"/>
        <v>#N/A</v>
      </c>
      <c r="E337" t="e">
        <f t="shared" ca="1" si="13"/>
        <v>#N/A</v>
      </c>
    </row>
    <row r="338" spans="1:5"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12"/>
        <v>#N/A</v>
      </c>
      <c r="E338" t="e">
        <f t="shared" ca="1" si="13"/>
        <v>#N/A</v>
      </c>
    </row>
    <row r="339" spans="1:5"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12"/>
        <v>#N/A</v>
      </c>
      <c r="E339" t="e">
        <f t="shared" ca="1" si="13"/>
        <v>#N/A</v>
      </c>
    </row>
    <row r="340" spans="1:5"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12"/>
        <v>#N/A</v>
      </c>
      <c r="E340" t="e">
        <f t="shared" ca="1" si="13"/>
        <v>#N/A</v>
      </c>
    </row>
    <row r="341" spans="1:5"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12"/>
        <v>#N/A</v>
      </c>
      <c r="E341" t="e">
        <f t="shared" ca="1" si="13"/>
        <v>#N/A</v>
      </c>
    </row>
    <row r="342" spans="1:5"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12"/>
        <v>#N/A</v>
      </c>
      <c r="E342" t="e">
        <f t="shared" ca="1" si="13"/>
        <v>#N/A</v>
      </c>
    </row>
    <row r="343" spans="1:5"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12"/>
        <v>#N/A</v>
      </c>
      <c r="E343" t="e">
        <f t="shared" ca="1" si="13"/>
        <v>#N/A</v>
      </c>
    </row>
    <row r="344" spans="1:5"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12"/>
        <v>#N/A</v>
      </c>
      <c r="E344" t="e">
        <f t="shared" ca="1" si="13"/>
        <v>#N/A</v>
      </c>
    </row>
    <row r="345" spans="1:5"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12"/>
        <v>#N/A</v>
      </c>
      <c r="E345" t="e">
        <f t="shared" ca="1" si="13"/>
        <v>#N/A</v>
      </c>
    </row>
    <row r="346" spans="1:5"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12"/>
        <v>#N/A</v>
      </c>
      <c r="E346" t="e">
        <f t="shared" ca="1" si="13"/>
        <v>#N/A</v>
      </c>
    </row>
    <row r="347" spans="1:5"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12"/>
        <v>#N/A</v>
      </c>
      <c r="E347" t="e">
        <f t="shared" ca="1" si="13"/>
        <v>#N/A</v>
      </c>
    </row>
    <row r="348" spans="1:5"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12"/>
        <v>#N/A</v>
      </c>
      <c r="E348" t="e">
        <f t="shared" ca="1" si="13"/>
        <v>#N/A</v>
      </c>
    </row>
    <row r="349" spans="1:5"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12"/>
        <v>#N/A</v>
      </c>
      <c r="E349" t="e">
        <f t="shared" ca="1" si="13"/>
        <v>#N/A</v>
      </c>
    </row>
    <row r="350" spans="1:5"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12"/>
        <v>#N/A</v>
      </c>
      <c r="E350" t="e">
        <f t="shared" ca="1" si="13"/>
        <v>#N/A</v>
      </c>
    </row>
    <row r="351" spans="1:5"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12"/>
        <v>#N/A</v>
      </c>
      <c r="E351" t="e">
        <f t="shared" ca="1" si="13"/>
        <v>#N/A</v>
      </c>
    </row>
    <row r="352" spans="1:5"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12"/>
        <v>#N/A</v>
      </c>
      <c r="E352" t="e">
        <f t="shared" ca="1" si="13"/>
        <v>#N/A</v>
      </c>
    </row>
    <row r="353" spans="1:5"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12"/>
        <v>#N/A</v>
      </c>
      <c r="E353" t="e">
        <f t="shared" ca="1" si="13"/>
        <v>#N/A</v>
      </c>
    </row>
    <row r="354" spans="1:5"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12"/>
        <v>#N/A</v>
      </c>
      <c r="E354" t="e">
        <f t="shared" ca="1" si="13"/>
        <v>#N/A</v>
      </c>
    </row>
    <row r="355" spans="1:5"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12"/>
        <v>#N/A</v>
      </c>
      <c r="E355" t="e">
        <f t="shared" ca="1" si="13"/>
        <v>#N/A</v>
      </c>
    </row>
    <row r="356" spans="1:5"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12"/>
        <v>#N/A</v>
      </c>
      <c r="E356" t="e">
        <f t="shared" ca="1" si="13"/>
        <v>#N/A</v>
      </c>
    </row>
    <row r="357" spans="1:5"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12"/>
        <v>#N/A</v>
      </c>
      <c r="E357" t="e">
        <f t="shared" ca="1" si="13"/>
        <v>#N/A</v>
      </c>
    </row>
    <row r="358" spans="1:5"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12"/>
        <v>#N/A</v>
      </c>
      <c r="E358" t="e">
        <f t="shared" ca="1" si="13"/>
        <v>#N/A</v>
      </c>
    </row>
    <row r="359" spans="1:5"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12"/>
        <v>#N/A</v>
      </c>
      <c r="E359" t="e">
        <f t="shared" ca="1" si="13"/>
        <v>#N/A</v>
      </c>
    </row>
    <row r="360" spans="1:5"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12"/>
        <v>#N/A</v>
      </c>
      <c r="E360" t="e">
        <f t="shared" ca="1" si="13"/>
        <v>#N/A</v>
      </c>
    </row>
    <row r="361" spans="1:5"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4">IF(C361="",NA(),IMREAL(C361))</f>
        <v>#N/A</v>
      </c>
      <c r="E361" t="e">
        <f t="shared" ref="E361:E424" ca="1" si="15">IF(C361="",NA(),IMAGINARY(C361))</f>
        <v>#N/A</v>
      </c>
    </row>
    <row r="362" spans="1:5"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4"/>
        <v>#N/A</v>
      </c>
      <c r="E362" t="e">
        <f t="shared" ca="1" si="15"/>
        <v>#N/A</v>
      </c>
    </row>
    <row r="363" spans="1:5"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4"/>
        <v>#N/A</v>
      </c>
      <c r="E363" t="e">
        <f t="shared" ca="1" si="15"/>
        <v>#N/A</v>
      </c>
    </row>
    <row r="364" spans="1:5"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4"/>
        <v>#N/A</v>
      </c>
      <c r="E364" t="e">
        <f t="shared" ca="1" si="15"/>
        <v>#N/A</v>
      </c>
    </row>
    <row r="365" spans="1:5"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4"/>
        <v>#N/A</v>
      </c>
      <c r="E365" t="e">
        <f t="shared" ca="1" si="15"/>
        <v>#N/A</v>
      </c>
    </row>
    <row r="366" spans="1:5"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4"/>
        <v>#N/A</v>
      </c>
      <c r="E366" t="e">
        <f t="shared" ca="1" si="15"/>
        <v>#N/A</v>
      </c>
    </row>
    <row r="367" spans="1:5"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4"/>
        <v>#N/A</v>
      </c>
      <c r="E367" t="e">
        <f t="shared" ca="1" si="15"/>
        <v>#N/A</v>
      </c>
    </row>
    <row r="368" spans="1:5"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4"/>
        <v>#N/A</v>
      </c>
      <c r="E368" t="e">
        <f t="shared" ca="1" si="15"/>
        <v>#N/A</v>
      </c>
    </row>
    <row r="369" spans="1:5"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4"/>
        <v>#N/A</v>
      </c>
      <c r="E369" t="e">
        <f t="shared" ca="1" si="15"/>
        <v>#N/A</v>
      </c>
    </row>
    <row r="370" spans="1:5"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4"/>
        <v>#N/A</v>
      </c>
      <c r="E370" t="e">
        <f t="shared" ca="1" si="15"/>
        <v>#N/A</v>
      </c>
    </row>
    <row r="371" spans="1:5"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4"/>
        <v>#N/A</v>
      </c>
      <c r="E371" t="e">
        <f t="shared" ca="1" si="15"/>
        <v>#N/A</v>
      </c>
    </row>
    <row r="372" spans="1:5"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4"/>
        <v>#N/A</v>
      </c>
      <c r="E372" t="e">
        <f t="shared" ca="1" si="15"/>
        <v>#N/A</v>
      </c>
    </row>
    <row r="373" spans="1:5"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4"/>
        <v>#N/A</v>
      </c>
      <c r="E373" t="e">
        <f t="shared" ca="1" si="15"/>
        <v>#N/A</v>
      </c>
    </row>
    <row r="374" spans="1:5"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4"/>
        <v>#N/A</v>
      </c>
      <c r="E374" t="e">
        <f t="shared" ca="1" si="15"/>
        <v>#N/A</v>
      </c>
    </row>
    <row r="375" spans="1:5"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4"/>
        <v>#N/A</v>
      </c>
      <c r="E375" t="e">
        <f t="shared" ca="1" si="15"/>
        <v>#N/A</v>
      </c>
    </row>
    <row r="376" spans="1:5"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4"/>
        <v>#N/A</v>
      </c>
      <c r="E376" t="e">
        <f t="shared" ca="1" si="15"/>
        <v>#N/A</v>
      </c>
    </row>
    <row r="377" spans="1:5"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4"/>
        <v>#N/A</v>
      </c>
      <c r="E377" t="e">
        <f t="shared" ca="1" si="15"/>
        <v>#N/A</v>
      </c>
    </row>
    <row r="378" spans="1:5"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4"/>
        <v>#N/A</v>
      </c>
      <c r="E378" t="e">
        <f t="shared" ca="1" si="15"/>
        <v>#N/A</v>
      </c>
    </row>
    <row r="379" spans="1:5"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4"/>
        <v>#N/A</v>
      </c>
      <c r="E379" t="e">
        <f t="shared" ca="1" si="15"/>
        <v>#N/A</v>
      </c>
    </row>
    <row r="380" spans="1:5"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4"/>
        <v>#N/A</v>
      </c>
      <c r="E380" t="e">
        <f t="shared" ca="1" si="15"/>
        <v>#N/A</v>
      </c>
    </row>
    <row r="381" spans="1:5"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4"/>
        <v>#N/A</v>
      </c>
      <c r="E381" t="e">
        <f t="shared" ca="1" si="15"/>
        <v>#N/A</v>
      </c>
    </row>
    <row r="382" spans="1:5"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4"/>
        <v>#N/A</v>
      </c>
      <c r="E382" t="e">
        <f t="shared" ca="1" si="15"/>
        <v>#N/A</v>
      </c>
    </row>
    <row r="383" spans="1:5"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4"/>
        <v>#N/A</v>
      </c>
      <c r="E383" t="e">
        <f t="shared" ca="1" si="15"/>
        <v>#N/A</v>
      </c>
    </row>
    <row r="384" spans="1:5"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4"/>
        <v>#N/A</v>
      </c>
      <c r="E384" t="e">
        <f t="shared" ca="1" si="15"/>
        <v>#N/A</v>
      </c>
    </row>
    <row r="385" spans="1:5"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4"/>
        <v>#N/A</v>
      </c>
      <c r="E385" t="e">
        <f t="shared" ca="1" si="15"/>
        <v>#N/A</v>
      </c>
    </row>
    <row r="386" spans="1:5"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4"/>
        <v>#N/A</v>
      </c>
      <c r="E386" t="e">
        <f t="shared" ca="1" si="15"/>
        <v>#N/A</v>
      </c>
    </row>
    <row r="387" spans="1:5"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4"/>
        <v>#N/A</v>
      </c>
      <c r="E387" t="e">
        <f t="shared" ca="1" si="15"/>
        <v>#N/A</v>
      </c>
    </row>
    <row r="388" spans="1:5"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4"/>
        <v>#N/A</v>
      </c>
      <c r="E388" t="e">
        <f t="shared" ca="1" si="15"/>
        <v>#N/A</v>
      </c>
    </row>
    <row r="389" spans="1:5"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4"/>
        <v>#N/A</v>
      </c>
      <c r="E389" t="e">
        <f t="shared" ca="1" si="15"/>
        <v>#N/A</v>
      </c>
    </row>
    <row r="390" spans="1:5"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4"/>
        <v>#N/A</v>
      </c>
      <c r="E390" t="e">
        <f t="shared" ca="1" si="15"/>
        <v>#N/A</v>
      </c>
    </row>
    <row r="391" spans="1:5"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4"/>
        <v>#N/A</v>
      </c>
      <c r="E391" t="e">
        <f t="shared" ca="1" si="15"/>
        <v>#N/A</v>
      </c>
    </row>
    <row r="392" spans="1:5"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4"/>
        <v>#N/A</v>
      </c>
      <c r="E392" t="e">
        <f t="shared" ca="1" si="15"/>
        <v>#N/A</v>
      </c>
    </row>
    <row r="393" spans="1:5"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4"/>
        <v>#N/A</v>
      </c>
      <c r="E393" t="e">
        <f t="shared" ca="1" si="15"/>
        <v>#N/A</v>
      </c>
    </row>
    <row r="394" spans="1:5"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4"/>
        <v>#N/A</v>
      </c>
      <c r="E394" t="e">
        <f t="shared" ca="1" si="15"/>
        <v>#N/A</v>
      </c>
    </row>
    <row r="395" spans="1:5"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4"/>
        <v>#N/A</v>
      </c>
      <c r="E395" t="e">
        <f t="shared" ca="1" si="15"/>
        <v>#N/A</v>
      </c>
    </row>
    <row r="396" spans="1:5"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4"/>
        <v>#N/A</v>
      </c>
      <c r="E396" t="e">
        <f t="shared" ca="1" si="15"/>
        <v>#N/A</v>
      </c>
    </row>
    <row r="397" spans="1:5"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4"/>
        <v>#N/A</v>
      </c>
      <c r="E397" t="e">
        <f t="shared" ca="1" si="15"/>
        <v>#N/A</v>
      </c>
    </row>
    <row r="398" spans="1:5"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4"/>
        <v>#N/A</v>
      </c>
      <c r="E398" t="e">
        <f t="shared" ca="1" si="15"/>
        <v>#N/A</v>
      </c>
    </row>
    <row r="399" spans="1:5"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4"/>
        <v>#N/A</v>
      </c>
      <c r="E399" t="e">
        <f t="shared" ca="1" si="15"/>
        <v>#N/A</v>
      </c>
    </row>
    <row r="400" spans="1:5"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4"/>
        <v>#N/A</v>
      </c>
      <c r="E400" t="e">
        <f t="shared" ca="1" si="15"/>
        <v>#N/A</v>
      </c>
    </row>
    <row r="401" spans="1:5"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4"/>
        <v>#N/A</v>
      </c>
      <c r="E401" t="e">
        <f t="shared" ca="1" si="15"/>
        <v>#N/A</v>
      </c>
    </row>
    <row r="402" spans="1:5"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4"/>
        <v>#N/A</v>
      </c>
      <c r="E402" t="e">
        <f t="shared" ca="1" si="15"/>
        <v>#N/A</v>
      </c>
    </row>
    <row r="403" spans="1:5"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4"/>
        <v>#N/A</v>
      </c>
      <c r="E403" t="e">
        <f t="shared" ca="1" si="15"/>
        <v>#N/A</v>
      </c>
    </row>
    <row r="404" spans="1:5"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4"/>
        <v>#N/A</v>
      </c>
      <c r="E404" t="e">
        <f t="shared" ca="1" si="15"/>
        <v>#N/A</v>
      </c>
    </row>
    <row r="405" spans="1:5"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4"/>
        <v>#N/A</v>
      </c>
      <c r="E405" t="e">
        <f t="shared" ca="1" si="15"/>
        <v>#N/A</v>
      </c>
    </row>
    <row r="406" spans="1:5"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4"/>
        <v>#N/A</v>
      </c>
      <c r="E406" t="e">
        <f t="shared" ca="1" si="15"/>
        <v>#N/A</v>
      </c>
    </row>
    <row r="407" spans="1:5"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4"/>
        <v>#N/A</v>
      </c>
      <c r="E407" t="e">
        <f t="shared" ca="1" si="15"/>
        <v>#N/A</v>
      </c>
    </row>
    <row r="408" spans="1:5"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4"/>
        <v>#N/A</v>
      </c>
      <c r="E408" t="e">
        <f t="shared" ca="1" si="15"/>
        <v>#N/A</v>
      </c>
    </row>
    <row r="409" spans="1:5"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4"/>
        <v>#N/A</v>
      </c>
      <c r="E409" t="e">
        <f t="shared" ca="1" si="15"/>
        <v>#N/A</v>
      </c>
    </row>
    <row r="410" spans="1:5"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4"/>
        <v>#N/A</v>
      </c>
      <c r="E410" t="e">
        <f t="shared" ca="1" si="15"/>
        <v>#N/A</v>
      </c>
    </row>
    <row r="411" spans="1:5"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4"/>
        <v>#N/A</v>
      </c>
      <c r="E411" t="e">
        <f t="shared" ca="1" si="15"/>
        <v>#N/A</v>
      </c>
    </row>
    <row r="412" spans="1:5"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4"/>
        <v>#N/A</v>
      </c>
      <c r="E412" t="e">
        <f t="shared" ca="1" si="15"/>
        <v>#N/A</v>
      </c>
    </row>
    <row r="413" spans="1:5"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4"/>
        <v>#N/A</v>
      </c>
      <c r="E413" t="e">
        <f t="shared" ca="1" si="15"/>
        <v>#N/A</v>
      </c>
    </row>
    <row r="414" spans="1:5"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4"/>
        <v>#N/A</v>
      </c>
      <c r="E414" t="e">
        <f t="shared" ca="1" si="15"/>
        <v>#N/A</v>
      </c>
    </row>
    <row r="415" spans="1:5"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4"/>
        <v>#N/A</v>
      </c>
      <c r="E415" t="e">
        <f t="shared" ca="1" si="15"/>
        <v>#N/A</v>
      </c>
    </row>
    <row r="416" spans="1:5"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4"/>
        <v>#N/A</v>
      </c>
      <c r="E416" t="e">
        <f t="shared" ca="1" si="15"/>
        <v>#N/A</v>
      </c>
    </row>
    <row r="417" spans="1:5"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4"/>
        <v>#N/A</v>
      </c>
      <c r="E417" t="e">
        <f t="shared" ca="1" si="15"/>
        <v>#N/A</v>
      </c>
    </row>
    <row r="418" spans="1:5"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4"/>
        <v>#N/A</v>
      </c>
      <c r="E418" t="e">
        <f t="shared" ca="1" si="15"/>
        <v>#N/A</v>
      </c>
    </row>
    <row r="419" spans="1:5"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4"/>
        <v>#N/A</v>
      </c>
      <c r="E419" t="e">
        <f t="shared" ca="1" si="15"/>
        <v>#N/A</v>
      </c>
    </row>
    <row r="420" spans="1:5"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4"/>
        <v>#N/A</v>
      </c>
      <c r="E420" t="e">
        <f t="shared" ca="1" si="15"/>
        <v>#N/A</v>
      </c>
    </row>
    <row r="421" spans="1:5"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4"/>
        <v>#N/A</v>
      </c>
      <c r="E421" t="e">
        <f t="shared" ca="1" si="15"/>
        <v>#N/A</v>
      </c>
    </row>
    <row r="422" spans="1:5"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4"/>
        <v>#N/A</v>
      </c>
      <c r="E422" t="e">
        <f t="shared" ca="1" si="15"/>
        <v>#N/A</v>
      </c>
    </row>
    <row r="423" spans="1:5"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4"/>
        <v>#N/A</v>
      </c>
      <c r="E423" t="e">
        <f t="shared" ca="1" si="15"/>
        <v>#N/A</v>
      </c>
    </row>
    <row r="424" spans="1:5"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4"/>
        <v>#N/A</v>
      </c>
      <c r="E424" t="e">
        <f t="shared" ca="1" si="15"/>
        <v>#N/A</v>
      </c>
    </row>
    <row r="425" spans="1:5"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6">IF(C425="",NA(),IMREAL(C425))</f>
        <v>#N/A</v>
      </c>
      <c r="E425" t="e">
        <f t="shared" ref="E425:E488" ca="1" si="17">IF(C425="",NA(),IMAGINARY(C425))</f>
        <v>#N/A</v>
      </c>
    </row>
    <row r="426" spans="1:5"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6"/>
        <v>#N/A</v>
      </c>
      <c r="E426" t="e">
        <f t="shared" ca="1" si="17"/>
        <v>#N/A</v>
      </c>
    </row>
    <row r="427" spans="1:5"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6"/>
        <v>#N/A</v>
      </c>
      <c r="E427" t="e">
        <f t="shared" ca="1" si="17"/>
        <v>#N/A</v>
      </c>
    </row>
    <row r="428" spans="1:5"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6"/>
        <v>#N/A</v>
      </c>
      <c r="E428" t="e">
        <f t="shared" ca="1" si="17"/>
        <v>#N/A</v>
      </c>
    </row>
    <row r="429" spans="1:5"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6"/>
        <v>#N/A</v>
      </c>
      <c r="E429" t="e">
        <f t="shared" ca="1" si="17"/>
        <v>#N/A</v>
      </c>
    </row>
    <row r="430" spans="1:5"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6"/>
        <v>#N/A</v>
      </c>
      <c r="E430" t="e">
        <f t="shared" ca="1" si="17"/>
        <v>#N/A</v>
      </c>
    </row>
    <row r="431" spans="1:5"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6"/>
        <v>#N/A</v>
      </c>
      <c r="E431" t="e">
        <f t="shared" ca="1" si="17"/>
        <v>#N/A</v>
      </c>
    </row>
    <row r="432" spans="1:5"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6"/>
        <v>#N/A</v>
      </c>
      <c r="E432" t="e">
        <f t="shared" ca="1" si="17"/>
        <v>#N/A</v>
      </c>
    </row>
    <row r="433" spans="1:5"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6"/>
        <v>#N/A</v>
      </c>
      <c r="E433" t="e">
        <f t="shared" ca="1" si="17"/>
        <v>#N/A</v>
      </c>
    </row>
    <row r="434" spans="1:5"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6"/>
        <v>#N/A</v>
      </c>
      <c r="E434" t="e">
        <f t="shared" ca="1" si="17"/>
        <v>#N/A</v>
      </c>
    </row>
    <row r="435" spans="1:5"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6"/>
        <v>#N/A</v>
      </c>
      <c r="E435" t="e">
        <f t="shared" ca="1" si="17"/>
        <v>#N/A</v>
      </c>
    </row>
    <row r="436" spans="1:5"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6"/>
        <v>#N/A</v>
      </c>
      <c r="E436" t="e">
        <f t="shared" ca="1" si="17"/>
        <v>#N/A</v>
      </c>
    </row>
    <row r="437" spans="1:5"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6"/>
        <v>#N/A</v>
      </c>
      <c r="E437" t="e">
        <f t="shared" ca="1" si="17"/>
        <v>#N/A</v>
      </c>
    </row>
    <row r="438" spans="1:5"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6"/>
        <v>#N/A</v>
      </c>
      <c r="E438" t="e">
        <f t="shared" ca="1" si="17"/>
        <v>#N/A</v>
      </c>
    </row>
    <row r="439" spans="1:5"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6"/>
        <v>#N/A</v>
      </c>
      <c r="E439" t="e">
        <f t="shared" ca="1" si="17"/>
        <v>#N/A</v>
      </c>
    </row>
    <row r="440" spans="1:5"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6"/>
        <v>#N/A</v>
      </c>
      <c r="E440" t="e">
        <f t="shared" ca="1" si="17"/>
        <v>#N/A</v>
      </c>
    </row>
    <row r="441" spans="1:5"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6"/>
        <v>#N/A</v>
      </c>
      <c r="E441" t="e">
        <f t="shared" ca="1" si="17"/>
        <v>#N/A</v>
      </c>
    </row>
    <row r="442" spans="1:5"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6"/>
        <v>#N/A</v>
      </c>
      <c r="E442" t="e">
        <f t="shared" ca="1" si="17"/>
        <v>#N/A</v>
      </c>
    </row>
    <row r="443" spans="1:5"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6"/>
        <v>#N/A</v>
      </c>
      <c r="E443" t="e">
        <f t="shared" ca="1" si="17"/>
        <v>#N/A</v>
      </c>
    </row>
    <row r="444" spans="1:5"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6"/>
        <v>#N/A</v>
      </c>
      <c r="E444" t="e">
        <f t="shared" ca="1" si="17"/>
        <v>#N/A</v>
      </c>
    </row>
    <row r="445" spans="1:5"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6"/>
        <v>#N/A</v>
      </c>
      <c r="E445" t="e">
        <f t="shared" ca="1" si="17"/>
        <v>#N/A</v>
      </c>
    </row>
    <row r="446" spans="1:5"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6"/>
        <v>#N/A</v>
      </c>
      <c r="E446" t="e">
        <f t="shared" ca="1" si="17"/>
        <v>#N/A</v>
      </c>
    </row>
    <row r="447" spans="1:5"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6"/>
        <v>#N/A</v>
      </c>
      <c r="E447" t="e">
        <f t="shared" ca="1" si="17"/>
        <v>#N/A</v>
      </c>
    </row>
    <row r="448" spans="1:5"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6"/>
        <v>#N/A</v>
      </c>
      <c r="E448" t="e">
        <f t="shared" ca="1" si="17"/>
        <v>#N/A</v>
      </c>
    </row>
    <row r="449" spans="1:5"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6"/>
        <v>#N/A</v>
      </c>
      <c r="E449" t="e">
        <f t="shared" ca="1" si="17"/>
        <v>#N/A</v>
      </c>
    </row>
    <row r="450" spans="1:5"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6"/>
        <v>#N/A</v>
      </c>
      <c r="E450" t="e">
        <f t="shared" ca="1" si="17"/>
        <v>#N/A</v>
      </c>
    </row>
    <row r="451" spans="1:5"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6"/>
        <v>#N/A</v>
      </c>
      <c r="E451" t="e">
        <f t="shared" ca="1" si="17"/>
        <v>#N/A</v>
      </c>
    </row>
    <row r="452" spans="1:5"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6"/>
        <v>#N/A</v>
      </c>
      <c r="E452" t="e">
        <f t="shared" ca="1" si="17"/>
        <v>#N/A</v>
      </c>
    </row>
    <row r="453" spans="1:5"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6"/>
        <v>#N/A</v>
      </c>
      <c r="E453" t="e">
        <f t="shared" ca="1" si="17"/>
        <v>#N/A</v>
      </c>
    </row>
    <row r="454" spans="1:5"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6"/>
        <v>#N/A</v>
      </c>
      <c r="E454" t="e">
        <f t="shared" ca="1" si="17"/>
        <v>#N/A</v>
      </c>
    </row>
    <row r="455" spans="1:5"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6"/>
        <v>#N/A</v>
      </c>
      <c r="E455" t="e">
        <f t="shared" ca="1" si="17"/>
        <v>#N/A</v>
      </c>
    </row>
    <row r="456" spans="1:5"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6"/>
        <v>#N/A</v>
      </c>
      <c r="E456" t="e">
        <f t="shared" ca="1" si="17"/>
        <v>#N/A</v>
      </c>
    </row>
    <row r="457" spans="1:5"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6"/>
        <v>#N/A</v>
      </c>
      <c r="E457" t="e">
        <f t="shared" ca="1" si="17"/>
        <v>#N/A</v>
      </c>
    </row>
    <row r="458" spans="1:5"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6"/>
        <v>#N/A</v>
      </c>
      <c r="E458" t="e">
        <f t="shared" ca="1" si="17"/>
        <v>#N/A</v>
      </c>
    </row>
    <row r="459" spans="1:5"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6"/>
        <v>#N/A</v>
      </c>
      <c r="E459" t="e">
        <f t="shared" ca="1" si="17"/>
        <v>#N/A</v>
      </c>
    </row>
    <row r="460" spans="1:5"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6"/>
        <v>#N/A</v>
      </c>
      <c r="E460" t="e">
        <f t="shared" ca="1" si="17"/>
        <v>#N/A</v>
      </c>
    </row>
    <row r="461" spans="1:5"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6"/>
        <v>#N/A</v>
      </c>
      <c r="E461" t="e">
        <f t="shared" ca="1" si="17"/>
        <v>#N/A</v>
      </c>
    </row>
    <row r="462" spans="1:5"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6"/>
        <v>#N/A</v>
      </c>
      <c r="E462" t="e">
        <f t="shared" ca="1" si="17"/>
        <v>#N/A</v>
      </c>
    </row>
    <row r="463" spans="1:5"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6"/>
        <v>#N/A</v>
      </c>
      <c r="E463" t="e">
        <f t="shared" ca="1" si="17"/>
        <v>#N/A</v>
      </c>
    </row>
    <row r="464" spans="1:5"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6"/>
        <v>#N/A</v>
      </c>
      <c r="E464" t="e">
        <f t="shared" ca="1" si="17"/>
        <v>#N/A</v>
      </c>
    </row>
    <row r="465" spans="1:5"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6"/>
        <v>#N/A</v>
      </c>
      <c r="E465" t="e">
        <f t="shared" ca="1" si="17"/>
        <v>#N/A</v>
      </c>
    </row>
    <row r="466" spans="1:5"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6"/>
        <v>#N/A</v>
      </c>
      <c r="E466" t="e">
        <f t="shared" ca="1" si="17"/>
        <v>#N/A</v>
      </c>
    </row>
    <row r="467" spans="1:5"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6"/>
        <v>#N/A</v>
      </c>
      <c r="E467" t="e">
        <f t="shared" ca="1" si="17"/>
        <v>#N/A</v>
      </c>
    </row>
    <row r="468" spans="1:5"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6"/>
        <v>#N/A</v>
      </c>
      <c r="E468" t="e">
        <f t="shared" ca="1" si="17"/>
        <v>#N/A</v>
      </c>
    </row>
    <row r="469" spans="1:5"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6"/>
        <v>#N/A</v>
      </c>
      <c r="E469" t="e">
        <f t="shared" ca="1" si="17"/>
        <v>#N/A</v>
      </c>
    </row>
    <row r="470" spans="1:5"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6"/>
        <v>#N/A</v>
      </c>
      <c r="E470" t="e">
        <f t="shared" ca="1" si="17"/>
        <v>#N/A</v>
      </c>
    </row>
    <row r="471" spans="1:5"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6"/>
        <v>#N/A</v>
      </c>
      <c r="E471" t="e">
        <f t="shared" ca="1" si="17"/>
        <v>#N/A</v>
      </c>
    </row>
    <row r="472" spans="1:5"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6"/>
        <v>#N/A</v>
      </c>
      <c r="E472" t="e">
        <f t="shared" ca="1" si="17"/>
        <v>#N/A</v>
      </c>
    </row>
    <row r="473" spans="1:5"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6"/>
        <v>#N/A</v>
      </c>
      <c r="E473" t="e">
        <f t="shared" ca="1" si="17"/>
        <v>#N/A</v>
      </c>
    </row>
    <row r="474" spans="1:5"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6"/>
        <v>#N/A</v>
      </c>
      <c r="E474" t="e">
        <f t="shared" ca="1" si="17"/>
        <v>#N/A</v>
      </c>
    </row>
    <row r="475" spans="1:5"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6"/>
        <v>#N/A</v>
      </c>
      <c r="E475" t="e">
        <f t="shared" ca="1" si="17"/>
        <v>#N/A</v>
      </c>
    </row>
    <row r="476" spans="1:5"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6"/>
        <v>#N/A</v>
      </c>
      <c r="E476" t="e">
        <f t="shared" ca="1" si="17"/>
        <v>#N/A</v>
      </c>
    </row>
    <row r="477" spans="1:5"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6"/>
        <v>#N/A</v>
      </c>
      <c r="E477" t="e">
        <f t="shared" ca="1" si="17"/>
        <v>#N/A</v>
      </c>
    </row>
    <row r="478" spans="1:5"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6"/>
        <v>#N/A</v>
      </c>
      <c r="E478" t="e">
        <f t="shared" ca="1" si="17"/>
        <v>#N/A</v>
      </c>
    </row>
    <row r="479" spans="1:5"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6"/>
        <v>#N/A</v>
      </c>
      <c r="E479" t="e">
        <f t="shared" ca="1" si="17"/>
        <v>#N/A</v>
      </c>
    </row>
    <row r="480" spans="1:5"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6"/>
        <v>#N/A</v>
      </c>
      <c r="E480" t="e">
        <f t="shared" ca="1" si="17"/>
        <v>#N/A</v>
      </c>
    </row>
    <row r="481" spans="1:5"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6"/>
        <v>#N/A</v>
      </c>
      <c r="E481" t="e">
        <f t="shared" ca="1" si="17"/>
        <v>#N/A</v>
      </c>
    </row>
    <row r="482" spans="1:5"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6"/>
        <v>#N/A</v>
      </c>
      <c r="E482" t="e">
        <f t="shared" ca="1" si="17"/>
        <v>#N/A</v>
      </c>
    </row>
    <row r="483" spans="1:5"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6"/>
        <v>#N/A</v>
      </c>
      <c r="E483" t="e">
        <f t="shared" ca="1" si="17"/>
        <v>#N/A</v>
      </c>
    </row>
    <row r="484" spans="1:5"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6"/>
        <v>#N/A</v>
      </c>
      <c r="E484" t="e">
        <f t="shared" ca="1" si="17"/>
        <v>#N/A</v>
      </c>
    </row>
    <row r="485" spans="1:5"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6"/>
        <v>#N/A</v>
      </c>
      <c r="E485" t="e">
        <f t="shared" ca="1" si="17"/>
        <v>#N/A</v>
      </c>
    </row>
    <row r="486" spans="1:5"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6"/>
        <v>#N/A</v>
      </c>
      <c r="E486" t="e">
        <f t="shared" ca="1" si="17"/>
        <v>#N/A</v>
      </c>
    </row>
    <row r="487" spans="1:5"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6"/>
        <v>#N/A</v>
      </c>
      <c r="E487" t="e">
        <f t="shared" ca="1" si="17"/>
        <v>#N/A</v>
      </c>
    </row>
    <row r="488" spans="1:5"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6"/>
        <v>#N/A</v>
      </c>
      <c r="E488" t="e">
        <f t="shared" ca="1" si="17"/>
        <v>#N/A</v>
      </c>
    </row>
    <row r="489" spans="1:5"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8">IF(C489="",NA(),IMREAL(C489))</f>
        <v>#N/A</v>
      </c>
      <c r="E489" t="e">
        <f t="shared" ref="E489:E534" ca="1" si="19">IF(C489="",NA(),IMAGINARY(C489))</f>
        <v>#N/A</v>
      </c>
    </row>
    <row r="490" spans="1:5"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8"/>
        <v>#N/A</v>
      </c>
      <c r="E490" t="e">
        <f t="shared" ca="1" si="19"/>
        <v>#N/A</v>
      </c>
    </row>
    <row r="491" spans="1:5"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8"/>
        <v>#N/A</v>
      </c>
      <c r="E491" t="e">
        <f t="shared" ca="1" si="19"/>
        <v>#N/A</v>
      </c>
    </row>
    <row r="492" spans="1:5"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8"/>
        <v>#N/A</v>
      </c>
      <c r="E492" t="e">
        <f t="shared" ca="1" si="19"/>
        <v>#N/A</v>
      </c>
    </row>
    <row r="493" spans="1:5"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8"/>
        <v>#N/A</v>
      </c>
      <c r="E493" t="e">
        <f t="shared" ca="1" si="19"/>
        <v>#N/A</v>
      </c>
    </row>
    <row r="494" spans="1:5"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8"/>
        <v>#N/A</v>
      </c>
      <c r="E494" t="e">
        <f t="shared" ca="1" si="19"/>
        <v>#N/A</v>
      </c>
    </row>
    <row r="495" spans="1:5"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8"/>
        <v>#N/A</v>
      </c>
      <c r="E495" t="e">
        <f t="shared" ca="1" si="19"/>
        <v>#N/A</v>
      </c>
    </row>
    <row r="496" spans="1:5"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8"/>
        <v>#N/A</v>
      </c>
      <c r="E496" t="e">
        <f t="shared" ca="1" si="19"/>
        <v>#N/A</v>
      </c>
    </row>
    <row r="497" spans="1:5"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8"/>
        <v>#N/A</v>
      </c>
      <c r="E497" t="e">
        <f t="shared" ca="1" si="19"/>
        <v>#N/A</v>
      </c>
    </row>
    <row r="498" spans="1:5"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8"/>
        <v>#N/A</v>
      </c>
      <c r="E498" t="e">
        <f t="shared" ca="1" si="19"/>
        <v>#N/A</v>
      </c>
    </row>
    <row r="499" spans="1:5"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8"/>
        <v>#N/A</v>
      </c>
      <c r="E499" t="e">
        <f t="shared" ca="1" si="19"/>
        <v>#N/A</v>
      </c>
    </row>
    <row r="500" spans="1:5"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8"/>
        <v>#N/A</v>
      </c>
      <c r="E500" t="e">
        <f t="shared" ca="1" si="19"/>
        <v>#N/A</v>
      </c>
    </row>
    <row r="501" spans="1:5"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8"/>
        <v>#N/A</v>
      </c>
      <c r="E501" t="e">
        <f t="shared" ca="1" si="19"/>
        <v>#N/A</v>
      </c>
    </row>
    <row r="502" spans="1:5"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8"/>
        <v>#N/A</v>
      </c>
      <c r="E502" t="e">
        <f t="shared" ca="1" si="19"/>
        <v>#N/A</v>
      </c>
    </row>
    <row r="503" spans="1:5"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8"/>
        <v>#N/A</v>
      </c>
      <c r="E503" t="e">
        <f t="shared" ca="1" si="19"/>
        <v>#N/A</v>
      </c>
    </row>
    <row r="504" spans="1:5"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8"/>
        <v>#N/A</v>
      </c>
      <c r="E504" t="e">
        <f t="shared" ca="1" si="19"/>
        <v>#N/A</v>
      </c>
    </row>
    <row r="505" spans="1:5"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8"/>
        <v>#N/A</v>
      </c>
      <c r="E505" t="e">
        <f t="shared" ca="1" si="19"/>
        <v>#N/A</v>
      </c>
    </row>
    <row r="506" spans="1:5"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8"/>
        <v>#N/A</v>
      </c>
      <c r="E506" t="e">
        <f t="shared" ca="1" si="19"/>
        <v>#N/A</v>
      </c>
    </row>
    <row r="507" spans="1:5"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8"/>
        <v>#N/A</v>
      </c>
      <c r="E507" t="e">
        <f t="shared" ca="1" si="19"/>
        <v>#N/A</v>
      </c>
    </row>
    <row r="508" spans="1:5"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8"/>
        <v>#N/A</v>
      </c>
      <c r="E508" t="e">
        <f t="shared" ca="1" si="19"/>
        <v>#N/A</v>
      </c>
    </row>
    <row r="509" spans="1:5"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8"/>
        <v>#N/A</v>
      </c>
      <c r="E509" t="e">
        <f t="shared" ca="1" si="19"/>
        <v>#N/A</v>
      </c>
    </row>
    <row r="510" spans="1:5"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8"/>
        <v>#N/A</v>
      </c>
      <c r="E510" t="e">
        <f t="shared" ca="1" si="19"/>
        <v>#N/A</v>
      </c>
    </row>
    <row r="511" spans="1:5"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8"/>
        <v>#N/A</v>
      </c>
      <c r="E511" t="e">
        <f t="shared" ca="1" si="19"/>
        <v>#N/A</v>
      </c>
    </row>
    <row r="512" spans="1:5"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8"/>
        <v>#N/A</v>
      </c>
      <c r="E512" t="e">
        <f t="shared" ca="1" si="19"/>
        <v>#N/A</v>
      </c>
    </row>
    <row r="513" spans="1:5"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8"/>
        <v>#N/A</v>
      </c>
      <c r="E513" t="e">
        <f t="shared" ca="1" si="19"/>
        <v>#N/A</v>
      </c>
    </row>
    <row r="514" spans="1:5"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8"/>
        <v>#N/A</v>
      </c>
      <c r="E514" t="e">
        <f t="shared" ca="1" si="19"/>
        <v>#N/A</v>
      </c>
    </row>
    <row r="515" spans="1:5"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8"/>
        <v>#N/A</v>
      </c>
      <c r="E515" t="e">
        <f t="shared" ca="1" si="19"/>
        <v>#N/A</v>
      </c>
    </row>
    <row r="516" spans="1:5"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8"/>
        <v>#N/A</v>
      </c>
      <c r="E516" t="e">
        <f t="shared" ca="1" si="19"/>
        <v>#N/A</v>
      </c>
    </row>
    <row r="517" spans="1:5"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8"/>
        <v>#N/A</v>
      </c>
      <c r="E517" t="e">
        <f t="shared" ca="1" si="19"/>
        <v>#N/A</v>
      </c>
    </row>
    <row r="518" spans="1:5"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8"/>
        <v>#N/A</v>
      </c>
      <c r="E518" t="e">
        <f t="shared" ca="1" si="19"/>
        <v>#N/A</v>
      </c>
    </row>
    <row r="519" spans="1:5"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8"/>
        <v>#N/A</v>
      </c>
      <c r="E519" t="e">
        <f t="shared" ca="1" si="19"/>
        <v>#N/A</v>
      </c>
    </row>
    <row r="520" spans="1:5"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8"/>
        <v>#N/A</v>
      </c>
      <c r="E520" t="e">
        <f t="shared" ca="1" si="19"/>
        <v>#N/A</v>
      </c>
    </row>
    <row r="521" spans="1:5"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8"/>
        <v>#N/A</v>
      </c>
      <c r="E521" t="e">
        <f t="shared" ca="1" si="19"/>
        <v>#N/A</v>
      </c>
    </row>
    <row r="522" spans="1:5"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8"/>
        <v>#N/A</v>
      </c>
      <c r="E522" t="e">
        <f t="shared" ca="1" si="19"/>
        <v>#N/A</v>
      </c>
    </row>
    <row r="523" spans="1:5"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8"/>
        <v>#N/A</v>
      </c>
      <c r="E523" t="e">
        <f t="shared" ca="1" si="19"/>
        <v>#N/A</v>
      </c>
    </row>
    <row r="524" spans="1:5"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8"/>
        <v>#N/A</v>
      </c>
      <c r="E524" t="e">
        <f t="shared" ca="1" si="19"/>
        <v>#N/A</v>
      </c>
    </row>
    <row r="525" spans="1:5"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8"/>
        <v>#N/A</v>
      </c>
      <c r="E525" t="e">
        <f t="shared" ca="1" si="19"/>
        <v>#N/A</v>
      </c>
    </row>
    <row r="526" spans="1:5"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8"/>
        <v>#N/A</v>
      </c>
      <c r="E526" t="e">
        <f t="shared" ca="1" si="19"/>
        <v>#N/A</v>
      </c>
    </row>
    <row r="527" spans="1:5"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8"/>
        <v>#N/A</v>
      </c>
      <c r="E527" t="e">
        <f t="shared" ca="1" si="19"/>
        <v>#N/A</v>
      </c>
    </row>
    <row r="528" spans="1:5"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8"/>
        <v>#N/A</v>
      </c>
      <c r="E528" t="e">
        <f t="shared" ca="1" si="19"/>
        <v>#N/A</v>
      </c>
    </row>
    <row r="529" spans="1:5"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8"/>
        <v>#N/A</v>
      </c>
      <c r="E529" t="e">
        <f t="shared" ca="1" si="19"/>
        <v>#N/A</v>
      </c>
    </row>
    <row r="530" spans="1:5"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8"/>
        <v>#N/A</v>
      </c>
      <c r="E530" t="e">
        <f t="shared" ca="1" si="19"/>
        <v>#N/A</v>
      </c>
    </row>
    <row r="531" spans="1:5"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8"/>
        <v>#N/A</v>
      </c>
      <c r="E531" t="e">
        <f t="shared" ca="1" si="19"/>
        <v>#N/A</v>
      </c>
    </row>
    <row r="532" spans="1:5"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8"/>
        <v>#N/A</v>
      </c>
      <c r="E532" t="e">
        <f t="shared" ca="1" si="19"/>
        <v>#N/A</v>
      </c>
    </row>
    <row r="533" spans="1:5"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8"/>
        <v>#N/A</v>
      </c>
      <c r="E533" t="e">
        <f t="shared" ca="1" si="19"/>
        <v>#N/A</v>
      </c>
    </row>
    <row r="534" spans="1:5"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8"/>
        <v>#N/A</v>
      </c>
      <c r="E534" t="e">
        <f t="shared" ca="1" si="19"/>
        <v>#N/A</v>
      </c>
    </row>
  </sheetData>
  <mergeCells count="13">
    <mergeCell ref="A1:B1"/>
    <mergeCell ref="A34:B34"/>
    <mergeCell ref="A31:B31"/>
    <mergeCell ref="A32:B32"/>
    <mergeCell ref="A26:B26"/>
    <mergeCell ref="A30:B30"/>
    <mergeCell ref="A28:B28"/>
    <mergeCell ref="A27:B27"/>
    <mergeCell ref="K26:Q37"/>
    <mergeCell ref="A33:B33"/>
    <mergeCell ref="A36:B36"/>
    <mergeCell ref="B38:E38"/>
    <mergeCell ref="A35:B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0C6E0-FF67-45DF-B3B3-84216C19BF28}">
  <dimension ref="A1:G25"/>
  <sheetViews>
    <sheetView topLeftCell="A4" workbookViewId="0">
      <selection activeCell="I10" sqref="I10"/>
    </sheetView>
  </sheetViews>
  <sheetFormatPr defaultRowHeight="14.4" x14ac:dyDescent="0.3"/>
  <cols>
    <col min="7" max="7" width="41" bestFit="1" customWidth="1"/>
  </cols>
  <sheetData>
    <row r="1" spans="1:7" x14ac:dyDescent="0.3">
      <c r="A1" t="s">
        <v>99</v>
      </c>
      <c r="B1" t="s">
        <v>125</v>
      </c>
    </row>
    <row r="2" spans="1:7" x14ac:dyDescent="0.3">
      <c r="A2" t="s">
        <v>100</v>
      </c>
      <c r="B2" t="s">
        <v>126</v>
      </c>
    </row>
    <row r="3" spans="1:7" x14ac:dyDescent="0.3">
      <c r="A3" t="s">
        <v>101</v>
      </c>
      <c r="B3" t="s">
        <v>127</v>
      </c>
    </row>
    <row r="4" spans="1:7" x14ac:dyDescent="0.3">
      <c r="A4" t="s">
        <v>102</v>
      </c>
      <c r="B4" t="s">
        <v>51</v>
      </c>
      <c r="C4" t="s">
        <v>55</v>
      </c>
      <c r="D4" t="s">
        <v>79</v>
      </c>
      <c r="E4" t="s">
        <v>60</v>
      </c>
      <c r="F4" t="s">
        <v>64</v>
      </c>
      <c r="G4" t="s">
        <v>103</v>
      </c>
    </row>
    <row r="5" spans="1:7" x14ac:dyDescent="0.3">
      <c r="A5">
        <v>0</v>
      </c>
      <c r="B5">
        <v>4</v>
      </c>
      <c r="C5">
        <v>8</v>
      </c>
      <c r="D5">
        <v>1</v>
      </c>
      <c r="E5">
        <v>8</v>
      </c>
      <c r="F5">
        <v>8</v>
      </c>
      <c r="G5" t="s">
        <v>128</v>
      </c>
    </row>
    <row r="6" spans="1:7" x14ac:dyDescent="0.3">
      <c r="A6">
        <v>1</v>
      </c>
      <c r="B6">
        <v>4</v>
      </c>
      <c r="C6">
        <v>8</v>
      </c>
      <c r="D6">
        <v>1</v>
      </c>
      <c r="E6">
        <v>9</v>
      </c>
      <c r="F6">
        <v>8</v>
      </c>
      <c r="G6" t="s">
        <v>129</v>
      </c>
    </row>
    <row r="7" spans="1:7" x14ac:dyDescent="0.3">
      <c r="A7">
        <v>2</v>
      </c>
      <c r="B7">
        <v>5</v>
      </c>
      <c r="C7">
        <v>8</v>
      </c>
      <c r="D7">
        <v>1</v>
      </c>
      <c r="E7">
        <v>9</v>
      </c>
      <c r="F7">
        <v>8</v>
      </c>
      <c r="G7" t="s">
        <v>130</v>
      </c>
    </row>
    <row r="8" spans="1:7" x14ac:dyDescent="0.3">
      <c r="A8">
        <v>3</v>
      </c>
      <c r="B8">
        <v>4</v>
      </c>
      <c r="C8">
        <v>8</v>
      </c>
      <c r="D8">
        <v>1</v>
      </c>
      <c r="E8">
        <v>9</v>
      </c>
      <c r="F8">
        <v>8</v>
      </c>
      <c r="G8" t="s">
        <v>131</v>
      </c>
    </row>
    <row r="9" spans="1:7" x14ac:dyDescent="0.3">
      <c r="A9">
        <v>4</v>
      </c>
      <c r="B9">
        <v>5</v>
      </c>
      <c r="C9">
        <v>9</v>
      </c>
      <c r="D9">
        <v>1</v>
      </c>
      <c r="E9">
        <v>9</v>
      </c>
      <c r="F9">
        <v>9</v>
      </c>
      <c r="G9" t="s">
        <v>132</v>
      </c>
    </row>
    <row r="10" spans="1:7" x14ac:dyDescent="0.3">
      <c r="A10">
        <v>5</v>
      </c>
      <c r="B10">
        <v>5</v>
      </c>
      <c r="C10">
        <v>8</v>
      </c>
      <c r="D10">
        <v>2</v>
      </c>
      <c r="E10">
        <v>8</v>
      </c>
      <c r="F10">
        <v>8</v>
      </c>
      <c r="G10" t="s">
        <v>133</v>
      </c>
    </row>
    <row r="11" spans="1:7" x14ac:dyDescent="0.3">
      <c r="A11">
        <v>6</v>
      </c>
      <c r="B11">
        <v>6</v>
      </c>
      <c r="C11">
        <v>8</v>
      </c>
      <c r="D11">
        <v>2</v>
      </c>
      <c r="E11">
        <v>8</v>
      </c>
      <c r="F11">
        <v>7</v>
      </c>
      <c r="G11" t="s">
        <v>134</v>
      </c>
    </row>
    <row r="12" spans="1:7" x14ac:dyDescent="0.3">
      <c r="A12">
        <v>7</v>
      </c>
      <c r="B12">
        <v>6</v>
      </c>
      <c r="C12">
        <v>7</v>
      </c>
      <c r="D12">
        <v>3</v>
      </c>
      <c r="E12">
        <v>7</v>
      </c>
      <c r="F12">
        <v>7</v>
      </c>
      <c r="G12" t="s">
        <v>135</v>
      </c>
    </row>
    <row r="13" spans="1:7" x14ac:dyDescent="0.3">
      <c r="A13">
        <v>8</v>
      </c>
      <c r="B13">
        <v>6</v>
      </c>
      <c r="C13">
        <v>7</v>
      </c>
      <c r="D13">
        <v>3</v>
      </c>
      <c r="E13">
        <v>7</v>
      </c>
      <c r="F13">
        <v>6</v>
      </c>
      <c r="G13" t="s">
        <v>136</v>
      </c>
    </row>
    <row r="14" spans="1:7" x14ac:dyDescent="0.3">
      <c r="A14">
        <v>9</v>
      </c>
      <c r="B14">
        <v>7</v>
      </c>
      <c r="C14">
        <v>6</v>
      </c>
      <c r="D14">
        <v>3</v>
      </c>
      <c r="E14">
        <v>6</v>
      </c>
      <c r="F14">
        <v>6</v>
      </c>
      <c r="G14" t="s">
        <v>137</v>
      </c>
    </row>
    <row r="15" spans="1:7" x14ac:dyDescent="0.3">
      <c r="A15">
        <v>10</v>
      </c>
      <c r="B15">
        <v>7</v>
      </c>
      <c r="C15">
        <v>6</v>
      </c>
      <c r="D15">
        <v>4</v>
      </c>
      <c r="E15">
        <v>6</v>
      </c>
      <c r="F15">
        <v>6</v>
      </c>
      <c r="G15" t="s">
        <v>138</v>
      </c>
    </row>
    <row r="16" spans="1:7" x14ac:dyDescent="0.3">
      <c r="A16">
        <v>11</v>
      </c>
      <c r="B16">
        <v>7</v>
      </c>
      <c r="C16">
        <v>5</v>
      </c>
      <c r="D16">
        <v>5</v>
      </c>
      <c r="E16">
        <v>5</v>
      </c>
      <c r="F16">
        <v>5</v>
      </c>
      <c r="G16" t="s">
        <v>139</v>
      </c>
    </row>
    <row r="17" spans="1:7" x14ac:dyDescent="0.3">
      <c r="A17">
        <v>12</v>
      </c>
      <c r="B17">
        <v>7</v>
      </c>
      <c r="C17">
        <v>5</v>
      </c>
      <c r="D17">
        <v>6</v>
      </c>
      <c r="E17">
        <v>5</v>
      </c>
      <c r="F17">
        <v>5</v>
      </c>
      <c r="G17" t="s">
        <v>140</v>
      </c>
    </row>
    <row r="18" spans="1:7" x14ac:dyDescent="0.3">
      <c r="A18">
        <v>13</v>
      </c>
      <c r="B18">
        <v>7</v>
      </c>
      <c r="C18">
        <v>5</v>
      </c>
      <c r="D18">
        <v>6</v>
      </c>
      <c r="E18">
        <v>5</v>
      </c>
      <c r="F18">
        <v>5</v>
      </c>
      <c r="G18" t="s">
        <v>141</v>
      </c>
    </row>
    <row r="19" spans="1:7" x14ac:dyDescent="0.3">
      <c r="A19">
        <v>14</v>
      </c>
      <c r="B19">
        <v>7</v>
      </c>
      <c r="C19">
        <v>4</v>
      </c>
      <c r="D19">
        <v>7</v>
      </c>
      <c r="E19">
        <v>5</v>
      </c>
      <c r="F19">
        <v>4</v>
      </c>
      <c r="G19" t="s">
        <v>142</v>
      </c>
    </row>
    <row r="20" spans="1:7" x14ac:dyDescent="0.3">
      <c r="A20">
        <v>15</v>
      </c>
      <c r="B20">
        <v>7</v>
      </c>
      <c r="C20">
        <v>4</v>
      </c>
      <c r="D20">
        <v>7</v>
      </c>
      <c r="E20">
        <v>4</v>
      </c>
      <c r="F20">
        <v>4</v>
      </c>
      <c r="G20" t="s">
        <v>143</v>
      </c>
    </row>
    <row r="21" spans="1:7" x14ac:dyDescent="0.3">
      <c r="A21">
        <v>16</v>
      </c>
      <c r="B21">
        <v>7</v>
      </c>
      <c r="C21">
        <v>4</v>
      </c>
      <c r="D21">
        <v>8</v>
      </c>
      <c r="E21">
        <v>4</v>
      </c>
      <c r="F21">
        <v>4</v>
      </c>
      <c r="G21" t="s">
        <v>144</v>
      </c>
    </row>
    <row r="22" spans="1:7" x14ac:dyDescent="0.3">
      <c r="A22">
        <v>17</v>
      </c>
      <c r="B22">
        <v>6</v>
      </c>
      <c r="C22">
        <v>5</v>
      </c>
      <c r="D22">
        <v>6</v>
      </c>
      <c r="E22">
        <v>6</v>
      </c>
      <c r="F22">
        <v>5</v>
      </c>
      <c r="G22" t="s">
        <v>145</v>
      </c>
    </row>
    <row r="23" spans="1:7" x14ac:dyDescent="0.3">
      <c r="A23">
        <v>18</v>
      </c>
      <c r="B23">
        <v>5</v>
      </c>
      <c r="C23">
        <v>6</v>
      </c>
      <c r="D23">
        <v>5</v>
      </c>
      <c r="E23">
        <v>7</v>
      </c>
      <c r="F23">
        <v>6</v>
      </c>
      <c r="G23" t="s">
        <v>146</v>
      </c>
    </row>
    <row r="24" spans="1:7" x14ac:dyDescent="0.3">
      <c r="A24">
        <v>19</v>
      </c>
      <c r="B24">
        <v>5</v>
      </c>
      <c r="C24">
        <v>6</v>
      </c>
      <c r="D24">
        <v>4</v>
      </c>
      <c r="E24">
        <v>7</v>
      </c>
      <c r="F24">
        <v>6</v>
      </c>
      <c r="G24" t="s">
        <v>147</v>
      </c>
    </row>
    <row r="25" spans="1:7" x14ac:dyDescent="0.3">
      <c r="A25">
        <v>20</v>
      </c>
      <c r="B25">
        <v>5</v>
      </c>
      <c r="C25">
        <v>6</v>
      </c>
      <c r="D25">
        <v>4</v>
      </c>
      <c r="E25">
        <v>7</v>
      </c>
      <c r="F25">
        <v>6</v>
      </c>
      <c r="G25" t="s">
        <v>148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9" t="s">
        <v>43</v>
      </c>
      <c r="B16" s="20"/>
      <c r="C16" s="20"/>
      <c r="D16" s="20"/>
    </row>
    <row r="17" spans="1:4" ht="36.6" customHeight="1" x14ac:dyDescent="0.3">
      <c r="A17" s="20"/>
      <c r="B17" s="20"/>
      <c r="C17" s="20"/>
      <c r="D17" s="20"/>
    </row>
  </sheetData>
  <mergeCells count="1">
    <mergeCell ref="A16:D1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112</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1" t="s">
        <v>110</v>
      </c>
      <c r="B9" s="21"/>
      <c r="C9" s="21"/>
      <c r="D9" s="21"/>
    </row>
  </sheetData>
  <mergeCells count="1">
    <mergeCell ref="A9:D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1" t="s">
        <v>111</v>
      </c>
      <c r="B7" s="21"/>
      <c r="C7" s="21"/>
      <c r="D7" s="21"/>
      <c r="E7" s="21"/>
      <c r="F7" s="21"/>
      <c r="G7" s="21"/>
    </row>
  </sheetData>
  <mergeCells count="1">
    <mergeCell ref="A7:G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Gamma_self Calc</vt:lpstr>
      <vt:lpstr>ai_drift_demo_M1</vt:lpstr>
      <vt:lpstr>Constants</vt:lpstr>
      <vt:lpstr>GRP Equation</vt:lpstr>
      <vt:lpstr>Primitive-&gt;gamma_self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2025-12-30T01:09:23Z</dcterms:modified>
</cp:coreProperties>
</file>